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R (corregido)" sheetId="1" r:id="rId4"/>
    <sheet state="visible" name="Inventario Modelo Lógico (corre" sheetId="2" r:id="rId5"/>
    <sheet state="visible" name="Tipos de Dato" sheetId="3" r:id="rId6"/>
    <sheet state="visible" name="DICCIONARIO DATOS (Físico)" sheetId="4" r:id="rId7"/>
  </sheets>
  <definedNames/>
  <calcPr/>
  <extLst>
    <ext uri="GoogleSheetsCustomDataVersion2">
      <go:sheetsCustomData xmlns:go="http://customooxmlschemas.google.com/" r:id="rId8" roundtripDataChecksum="Zfv9WS4JBQC30GSUhZDewzWwGE5l/0vE9sEZ4wB8ue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Especial para PK - (Universally Unique Identifier o Identificador Único Universal)
======</t>
      </text>
    </comment>
    <comment authorId="0" ref="C6">
      <text>
        <t xml:space="preserve">NUMERIC por compatibilidad con otros estándares.
======</t>
      </text>
    </comment>
    <comment authorId="0" ref="C9">
      <text>
        <t xml:space="preserve">Varchar es mejor por su longitud variable
======</t>
      </text>
    </comment>
    <comment authorId="0" ref="C11">
      <text>
        <t xml:space="preserve">TZ: más óptimo porque una red social es a nivel global y esta nos ayuda a ser más precisos
======</t>
      </text>
    </comment>
    <comment authorId="0" ref="C15">
      <text>
        <t xml:space="preserve">Requiere un paso previo. Primero debes crearlo: CREATE TYPE estado AS ENUM ('Activo', 'Inactivo'); y luego lo usas en tu tabla. - Tipo: En proceso, Entregado, etc.
======</t>
      </text>
    </comment>
    <comment authorId="0" ref="C18">
      <text>
        <t xml:space="preserve">JSON: Es lento para procesar pero rápido para insertar.
JSONB: rápido al consultar y elimina espacios en blanco y claves duplicadas automáticamente.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7">
      <text>
        <t xml:space="preserve">CAMBIO
======</t>
      </text>
    </comment>
    <comment authorId="0" ref="G58">
      <text>
        <t xml:space="preserve">JSONB: Postgres te permite hacer búsquedas súper rápidas, como "Búscame todos los usuarios que en su JSON de info_personal tengan 'Rock' en música".
======</t>
      </text>
    </comment>
    <comment authorId="0" ref="G260">
      <text>
        <t xml:space="preserve">Esta técnica garantiza la integridad de los datos al impedir valores no autorizados o errores ortográficos, optimiza el almacenamiento físico
======</t>
      </text>
    </comment>
    <comment authorId="0" ref="G261">
      <text>
        <t xml:space="preserve">Se utiliza para registrar momentos exactos de interacción
======</t>
      </text>
    </comment>
  </commentList>
</comments>
</file>

<file path=xl/sharedStrings.xml><?xml version="1.0" encoding="utf-8"?>
<sst xmlns="http://schemas.openxmlformats.org/spreadsheetml/2006/main" count="2349" uniqueCount="434">
  <si>
    <t>Tablas resultantes del Diccionario Genérico (Modelo Lógico)</t>
  </si>
  <si>
    <t>#</t>
  </si>
  <si>
    <t>Tabla</t>
  </si>
  <si>
    <t>Descripción Tabla</t>
  </si>
  <si>
    <t>Observaciones</t>
  </si>
  <si>
    <t>t_credencial</t>
  </si>
  <si>
    <t>Almacena los datos de autenticación y acceso único a la red social, separando la seguridad del perfil público.</t>
  </si>
  <si>
    <t>t_usuario</t>
  </si>
  <si>
    <t>Tabla central que vincula la identidad legal con el perfil social del usuario.</t>
  </si>
  <si>
    <t>t_biografia</t>
  </si>
  <si>
    <t xml:space="preserve">Tabla central que contiene el perfil de estudiantes/ usuario			</t>
  </si>
  <si>
    <t>t_info_academica</t>
  </si>
  <si>
    <t>Permite que el usuario registre cada uno de sus estudios de forma
 independiente (Grado, Posgrado, Cursos).</t>
  </si>
  <si>
    <t xml:space="preserve">t_info_exp_profesional 			</t>
  </si>
  <si>
    <t>En esta tabla el usuario consignará la información detallada de su trayectoria laboral previa o actual.</t>
  </si>
  <si>
    <t>t_info_habilidades</t>
  </si>
  <si>
    <t>Almacena las competencias técnicas y blandas de los usuarios, permitiendo categorizar su nivel de dominio.</t>
  </si>
  <si>
    <t>t_nombre_completo</t>
  </si>
  <si>
    <t>Desglose atómico de los nombres y apellidos para permitir búsquedas y ordenamiento eficiente en la plataforma.</t>
  </si>
  <si>
    <t>t_dependencia_academica</t>
  </si>
  <si>
    <t>Tabla de relación que vincula a los usuarios con sus respectivas unidades o facultades, permitiendo la trazabilidad de su ingreso.</t>
  </si>
  <si>
    <t>t_maestra_dependencia_academica</t>
  </si>
  <si>
    <t>Catálogo centralizado que contiene los nombres oficiales de las unidades, facultades o dependencias de la institución.</t>
  </si>
  <si>
    <t>t_rol_usuario</t>
  </si>
  <si>
    <t>Tabla de intersección que clasifica a los usuarios según sus funciones en la institución, permitiendo la multirrolidad.</t>
  </si>
  <si>
    <t>t_maestra_rol</t>
  </si>
  <si>
    <t>Clasificación del perfil (estudiante, docente, empleado, egresado, externo). Permite que un usuario tenga más de un rol simultáneamente.</t>
  </si>
  <si>
    <t>t_publicacion</t>
  </si>
  <si>
    <t>Almacena el contenido generado por los usuarios para la interacción en la red social.</t>
  </si>
  <si>
    <t>t_maestra_publicacion</t>
  </si>
  <si>
    <t>Catálogo que define los estados posibles de una publicación y sus reglas de interacción.</t>
  </si>
  <si>
    <t>t_maestra_tipo_publicacion</t>
  </si>
  <si>
    <t>Catálogo que centraliza los tipos de contenido permitidos. Evita que el sistema tenga que procesar texto repetitivo y facilita el filtrado.</t>
  </si>
  <si>
    <t>t_grupo</t>
  </si>
  <si>
    <t>Tabla para las comunidades internas creadas por los usuarios de la red.</t>
  </si>
  <si>
    <t>t_tipo_grupo</t>
  </si>
  <si>
    <t>Clasifica los grupos en temas. Al ser una relación de muchos a muchos, permite que un grupo tenga varias etiquetas simultáneamente.</t>
  </si>
  <si>
    <t>t_maestra_tipo_grupo</t>
  </si>
  <si>
    <t>Catálogo centralizado de temáticas o etiquetas para los grupos. Permite la existencia de categorías sin dependencia de registros activos.</t>
  </si>
  <si>
    <t>t_regla_grupo</t>
  </si>
  <si>
    <t>Almacena las normas específicas por grupo. Permite la visualización de reglas como listas ordenadas e independientes para mejorar la legibilidad.</t>
  </si>
  <si>
    <t xml:space="preserve">t_usuario_grupo			</t>
  </si>
  <si>
    <t>Su función es clasificar a los grupos en diferentes temas, Permite que un mismo grupo pueda tener varias etiquetas a la vez.</t>
  </si>
  <si>
    <t>t_evento</t>
  </si>
  <si>
    <t>Registro detallado de actividades, talleres y agendas académicas o sociales de la red.</t>
  </si>
  <si>
    <t>t_maestra_ubicacion</t>
  </si>
  <si>
    <t>Catálogo de espacios físicos y virtuales del campus. Evita que los detalles del lugar (como el bloque o 
el enlace virtual) dependan directamente del evento.</t>
  </si>
  <si>
    <t>t_categoria_evento</t>
  </si>
  <si>
    <t>permite la clasificación múltiple de un evento. Vincula un evento con una o varias etiquetas temáticas de la tabla maestra.</t>
  </si>
  <si>
    <t xml:space="preserve">t_maestra_categoria_evento                        </t>
  </si>
  <si>
    <t xml:space="preserve">Permite que un mismo grupo pueda tener varias etiquetas a la vez
(ej. académico e investigación)."                        </t>
  </si>
  <si>
    <t>t_bolsa_empleo</t>
  </si>
  <si>
    <t xml:space="preserve">Repositorio de ofertas laborales			</t>
  </si>
  <si>
    <t>t_requerimiento_empleo</t>
  </si>
  <si>
    <t>Es el Listado de aptitudes necesarias para una vacante.</t>
  </si>
  <si>
    <t xml:space="preserve">t_cambalache_store			</t>
  </si>
  <si>
    <t xml:space="preserve">Catálogo de productos			</t>
  </si>
  <si>
    <t>t_maestra_categoria_producto</t>
  </si>
  <si>
    <t xml:space="preserve">Catálogo de tipos de productos permitidos en el Cambalache Store.
 Esto permite organizar el inventario y facilitar la búsqueda por secciones."                        </t>
  </si>
  <si>
    <t>t_maestra_estado_producto</t>
  </si>
  <si>
    <t>Define la disponibilidad de los artículos en el mercado interno. Permite el control automatizado de la visibilidad de los anuncios.</t>
  </si>
  <si>
    <t>t_mensajeria</t>
  </si>
  <si>
    <t>Registros de mensajes privados entre usuarios.</t>
  </si>
  <si>
    <t>t_maestra_estado_msj</t>
  </si>
  <si>
    <t>Centraliza los posibles estados de un mensaje privado. Esto permite
que el sistema gestione la confirmación de lectura y entrega mediante IDs únicos, facilitando futuras métricas o cambios en las reglas de visualización.</t>
  </si>
  <si>
    <t>t_usuario_evento</t>
  </si>
  <si>
    <t>Gestiona la inscripción y confirmación de asistencia de los usuarios a los eventos institucionales.</t>
  </si>
  <si>
    <t>t_usuario_usuario</t>
  </si>
  <si>
    <t>Gestiona el seguimiento y las conexiones entre perfiles de la red.</t>
  </si>
  <si>
    <t>Tablas en Detalle</t>
  </si>
  <si>
    <t>Versión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</si>
  <si>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</si>
  <si>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</si>
  <si>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</si>
  <si>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</si>
  <si>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</si>
  <si>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</si>
  <si>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</si>
  <si>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</si>
  <si>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</si>
  <si>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>id_credencial</t>
  </si>
  <si>
    <t>Identificador único del usuario.</t>
  </si>
  <si>
    <t>UUID</t>
  </si>
  <si>
    <t>NO</t>
  </si>
  <si>
    <t>S</t>
  </si>
  <si>
    <t>Generado automáticamente</t>
  </si>
  <si>
    <t>id_usuario</t>
  </si>
  <si>
    <t>Conexión con la tabla usuario.</t>
  </si>
  <si>
    <t>Relación 1:1 con t_usuario</t>
  </si>
  <si>
    <t>correo</t>
  </si>
  <si>
    <t>Correo electrónico del usuario.</t>
  </si>
  <si>
    <t>TEXTO_CORTO</t>
  </si>
  <si>
    <t>evita que existan cuentas duplicadas con el mismo email, una regla de negocio crítica en cualquier red social.</t>
  </si>
  <si>
    <t>contraseña</t>
  </si>
  <si>
    <t>Contraseña cifrada del usuario.</t>
  </si>
  <si>
    <t>Se almacena con cifrado, para evitar que se pueda leer</t>
  </si>
  <si>
    <t>fecha_registro</t>
  </si>
  <si>
    <t>Fecha de registro del usuario.</t>
  </si>
  <si>
    <t>FECHA_HORA</t>
  </si>
  <si>
    <t xml:space="preserve">Registro automático del sistema
</t>
  </si>
  <si>
    <t>Identificador único del usuario</t>
  </si>
  <si>
    <t>PK principal del sistema.</t>
  </si>
  <si>
    <t>tipo_perfil</t>
  </si>
  <si>
    <t xml:space="preserve">Rol institucional del usuario - </t>
  </si>
  <si>
    <t>Ejemplo: estudiante, docente, empresario, invitado.</t>
  </si>
  <si>
    <t>data_perfil</t>
  </si>
  <si>
    <t>Asegura que el campo de tipo de perfil no quede vacio.</t>
  </si>
  <si>
    <t>JSONB</t>
  </si>
  <si>
    <t>Datos específicos según el tipo de perfil.</t>
  </si>
  <si>
    <t>id_biografia</t>
  </si>
  <si>
    <t>Identificador único de la información que irá en biografía.</t>
  </si>
  <si>
    <t>AUTOINCREMENTABLE</t>
  </si>
  <si>
    <t>PK de la tabla.</t>
  </si>
  <si>
    <t>En este campo el usuario consignará información con respecto a su formación académica</t>
  </si>
  <si>
    <t>Relación uno a uno con t_usuario. un usuario solo debe tener una única biografía asociada.</t>
  </si>
  <si>
    <t>info_personal</t>
  </si>
  <si>
    <t>En este campo el usuario consignará información con respecto a sus gustos personales</t>
  </si>
  <si>
    <t>SI</t>
  </si>
  <si>
    <t>Campo de texto libre y extenso.</t>
  </si>
  <si>
    <t>id_info_academica</t>
  </si>
  <si>
    <t>Identificador de la tabla con información académica</t>
  </si>
  <si>
    <t>PK de la tabla</t>
  </si>
  <si>
    <t>Conexión con la biografía del usuario.</t>
  </si>
  <si>
    <t>INT</t>
  </si>
  <si>
    <t>Relación 1:N (Un usuario, muchos estudios)</t>
  </si>
  <si>
    <t>institucion</t>
  </si>
  <si>
    <t>Nombre de la universidad o entidad.</t>
  </si>
  <si>
    <t>Evita valores compuestos</t>
  </si>
  <si>
    <t>titulo_obtenido</t>
  </si>
  <si>
    <t>Nombre del diploma o certificado.</t>
  </si>
  <si>
    <t>Ejemplo: Ingeniero, Técnico</t>
  </si>
  <si>
    <t>fecha_graduación</t>
  </si>
  <si>
    <t>Año o fecha de finalización.</t>
  </si>
  <si>
    <t>FECHA</t>
  </si>
  <si>
    <t>Permite ordenar cronológicamente</t>
  </si>
  <si>
    <t xml:space="preserve">En esta tabla el usuario consignará la información detallada de su trayectoria laboral previa o actual.            </t>
  </si>
  <si>
    <t>id_info_exp_profesional</t>
  </si>
  <si>
    <t>Identificador único del registro académico</t>
  </si>
  <si>
    <t>Vínculo con la biografía del usuario</t>
  </si>
  <si>
    <t>ENTERO</t>
  </si>
  <si>
    <t>empresa</t>
  </si>
  <si>
    <t>Nombre de la organización o compañía</t>
  </si>
  <si>
    <t>Cargo</t>
  </si>
  <si>
    <t>Puesto o rol desempeñado en la empresa</t>
  </si>
  <si>
    <t>descripcion_funciones</t>
  </si>
  <si>
    <t>Nombre del diploma o certificado recibido</t>
  </si>
  <si>
    <t>años_laborados</t>
  </si>
  <si>
    <t>Fecha de finalización de los estudios</t>
  </si>
  <si>
    <t>DECIMAL</t>
  </si>
  <si>
    <t>id_info_habilidades</t>
  </si>
  <si>
    <t>Identificador único de la habilidad</t>
  </si>
  <si>
    <t>Conexión con la biografía del usuario</t>
  </si>
  <si>
    <t>Permite registrar múltiples habilidades</t>
  </si>
  <si>
    <t>nombre_habilidad</t>
  </si>
  <si>
    <t>Nombre de la competencia (ej. SQL)</t>
  </si>
  <si>
    <t>Dato atómico</t>
  </si>
  <si>
    <t xml:space="preserve">nivel </t>
  </si>
  <si>
    <t>Grado de experticia en la habilidad</t>
  </si>
  <si>
    <t>Valores: Básico, Intermedio, Avanzado</t>
  </si>
  <si>
    <t>id_nombre_completo</t>
  </si>
  <si>
    <t>Identificador único del registro nominal.</t>
  </si>
  <si>
    <t>Vincula directamente el nombre de las personas con el ID del usuario</t>
  </si>
  <si>
    <t>p_nombre</t>
  </si>
  <si>
    <t>Primer nombre del usuario.</t>
  </si>
  <si>
    <t>Campo obligatorio.</t>
  </si>
  <si>
    <t>s_nombre</t>
  </si>
  <si>
    <t>Segundo nombre del usuario.</t>
  </si>
  <si>
    <t>Puede ser nulo.</t>
  </si>
  <si>
    <t>p_apellido</t>
  </si>
  <si>
    <t>Primer apellido del usuario.</t>
  </si>
  <si>
    <t>s_apellidos</t>
  </si>
  <si>
    <t>Segundo apellido del usuario.</t>
  </si>
  <si>
    <t>Identificador del usuario vinculado.</t>
  </si>
  <si>
    <t>Parte de la PK compuesta.</t>
  </si>
  <si>
    <t>id_dependencia_academica</t>
  </si>
  <si>
    <t>ID de la unidad o facultad.</t>
  </si>
  <si>
    <t xml:space="preserve">NO		</t>
  </si>
  <si>
    <t>fecha_vinculacion</t>
  </si>
  <si>
    <t>Fecha de ingreso a la unidad.</t>
  </si>
  <si>
    <t>Registro de inicio de labores/estudio.</t>
  </si>
  <si>
    <t>fecha_retiro</t>
  </si>
  <si>
    <t>Fecha de retiro de la unidad.</t>
  </si>
  <si>
    <t>DATE</t>
  </si>
  <si>
    <t>Registro de finalización de labores/estudio.</t>
  </si>
  <si>
    <t>Identificador único de la unidad.</t>
  </si>
  <si>
    <t>Código único (ej. 100, 200).</t>
  </si>
  <si>
    <t>nombre_dependencia</t>
  </si>
  <si>
    <t>Nombre oficial de la facultad o área.</t>
  </si>
  <si>
    <t>Ejemplo: Ingeniería, Bienestar.</t>
  </si>
  <si>
    <t>Identificador del usuario.</t>
  </si>
  <si>
    <t>id_rol</t>
  </si>
  <si>
    <t>Identificador del tipo de perfil.</t>
  </si>
  <si>
    <t>Referencia a t_maestra_rol.</t>
  </si>
  <si>
    <t>fecha_asignacion</t>
  </si>
  <si>
    <t>Fecha de otorgamiento del rol.</t>
  </si>
  <si>
    <t>Registro de trazabilidad.</t>
  </si>
  <si>
    <t>Identificador único del rol.</t>
  </si>
  <si>
    <t>nombre_rol</t>
  </si>
  <si>
    <t>Nombre descriptivo del rol.</t>
  </si>
  <si>
    <t>id_publicacion</t>
  </si>
  <si>
    <t>Identificador único de la publicación</t>
  </si>
  <si>
    <t>PK principal</t>
  </si>
  <si>
    <t>Perfil que realiza la acción</t>
  </si>
  <si>
    <t>Relaciona con t_usuario</t>
  </si>
  <si>
    <t>id_tipo_publicacion</t>
  </si>
  <si>
    <t>Referencia al tipo de contenido</t>
  </si>
  <si>
    <t>Relaciona con t_maestra_tipo_publicacion</t>
  </si>
  <si>
    <t>id_estado_publicacion</t>
  </si>
  <si>
    <t>Estado actual del post</t>
  </si>
  <si>
    <t>Define visibilidad o moderación</t>
  </si>
  <si>
    <t>contenido</t>
  </si>
  <si>
    <t>Texto del mensaje</t>
  </si>
  <si>
    <t>TEXTO</t>
  </si>
  <si>
    <t>Contenido principal del post</t>
  </si>
  <si>
    <t>fecha_publicacion</t>
  </si>
  <si>
    <t>Registro temporal de creación</t>
  </si>
  <si>
    <t>Trazabilidad de eventos</t>
  </si>
  <si>
    <t>Identificador único del estado</t>
  </si>
  <si>
    <t>nombre_estado</t>
  </si>
  <si>
    <t>Nombre de la condición</t>
  </si>
  <si>
    <t>permite_comentarios</t>
  </si>
  <si>
    <t>Regla de negocio para interacción</t>
  </si>
  <si>
    <t>LÓGICO</t>
  </si>
  <si>
    <t>Identificador único del tipo de contenido.</t>
  </si>
  <si>
    <t>nombre_tipo</t>
  </si>
  <si>
    <t>Nombre de la categoría de publicación.</t>
  </si>
  <si>
    <t>abla para las comunidades internas creadas por los usuarios de la red.</t>
  </si>
  <si>
    <t>id_grupo</t>
  </si>
  <si>
    <t>Identificador único del grupo.</t>
  </si>
  <si>
    <t>PK principal.</t>
  </si>
  <si>
    <t>id_creador</t>
  </si>
  <si>
    <t>Usuario que fundó el grupo.</t>
  </si>
  <si>
    <t>Referencia a t_usuario.</t>
  </si>
  <si>
    <t>nombre_grupo</t>
  </si>
  <si>
    <t>Nombre de la comunidad.</t>
  </si>
  <si>
    <t>No se permiten nombres duplicados.</t>
  </si>
  <si>
    <t>descripcion</t>
  </si>
  <si>
    <t>Objetivos, razón de ser y reglas.</t>
  </si>
  <si>
    <t>Información detallada del grupo.</t>
  </si>
  <si>
    <t>fecha_creacion</t>
  </si>
  <si>
    <t>Registro del nacimiento del grupo.</t>
  </si>
  <si>
    <t>Registro cronológico.</t>
  </si>
  <si>
    <t>privacidad</t>
  </si>
  <si>
    <t>Nivel de visibilidad del grupo.</t>
  </si>
  <si>
    <t>Valores: Público, Privado.</t>
  </si>
  <si>
    <t>id_tipo</t>
  </si>
  <si>
    <t>Identificador de la categoría.</t>
  </si>
  <si>
    <t>Referencia a t_maestra_categoria_grupo.</t>
  </si>
  <si>
    <t>Identificador del grupo con la etiqueta.</t>
  </si>
  <si>
    <t>Identificador único de la categoría.</t>
  </si>
  <si>
    <t>nombre_categoria</t>
  </si>
  <si>
    <t>Nombre del tema o etiqueta.</t>
  </si>
  <si>
    <t>id_regla_grupo</t>
  </si>
  <si>
    <t>Identificador único de la regla.</t>
  </si>
  <si>
    <t>Grupo al que pertenece la norma.</t>
  </si>
  <si>
    <t>descripcion_regla</t>
  </si>
  <si>
    <t>Contenido de la norma o conducta.</t>
  </si>
  <si>
    <t>Identificador del usuario miembro.</t>
  </si>
  <si>
    <t>Identificador del grupo.</t>
  </si>
  <si>
    <t>fecha_union</t>
  </si>
  <si>
    <t>Fecha en la que el usuario se unió.</t>
  </si>
  <si>
    <t>Registro de antigüedad.</t>
  </si>
  <si>
    <t>rol_miembro</t>
  </si>
  <si>
    <t>Nivel de permiso dentro del grupo.</t>
  </si>
  <si>
    <t>Valores: Administrador, Miembro.</t>
  </si>
  <si>
    <t>id_evento</t>
  </si>
  <si>
    <t>Identificador único de cada evento o actividad.</t>
  </si>
  <si>
    <t>id_organizador</t>
  </si>
  <si>
    <t>Usuario que crea y organiza el evento.</t>
  </si>
  <si>
    <t>id_ubicacion</t>
  </si>
  <si>
    <t>Lugar físico (auditorio, bloque) o enlace virtual.</t>
  </si>
  <si>
    <t>nombre_evento</t>
  </si>
  <si>
    <t>Título principal de la actividad.</t>
  </si>
  <si>
    <t>Detalle sobre los objetivos y requisitos para asistir.</t>
  </si>
  <si>
    <t>fecha_inicio</t>
  </si>
  <si>
    <t>Fecha y hora programada para el evento.</t>
  </si>
  <si>
    <t>fecha_fin</t>
  </si>
  <si>
    <t>Informa la fecha de fin para organizar la agenda</t>
  </si>
  <si>
    <t>Catálogo de espacios físicos y virtuales del campus. Evita que los
 detalles del lugar (como el bloque o el enlace virtual) dependan 
directamente del evento.</t>
  </si>
  <si>
    <t>Identificador único del lugar.</t>
  </si>
  <si>
    <t>nombre_lugar</t>
  </si>
  <si>
    <t>Nombre del espacio.</t>
  </si>
  <si>
    <t>bloque</t>
  </si>
  <si>
    <t>Ubicación física en el campus.</t>
  </si>
  <si>
    <t>tipo_ubicacion</t>
  </si>
  <si>
    <t>Clasificación del espacio.</t>
  </si>
  <si>
    <t>capacidad_max</t>
  </si>
  <si>
    <t>Aforo permitido.</t>
  </si>
  <si>
    <t>id_cat_evento</t>
  </si>
  <si>
    <t>Vinculación con el evento.</t>
  </si>
  <si>
    <t xml:space="preserve">t_maestra_categoria_evento			</t>
  </si>
  <si>
    <t>Nombra la categoría.</t>
  </si>
  <si>
    <t>id_bolsa</t>
  </si>
  <si>
    <t>Identificador único de la oferta.</t>
  </si>
  <si>
    <t>PK principal de la vacante.</t>
  </si>
  <si>
    <t>id_usuario_empresa</t>
  </si>
  <si>
    <t>Referencia al usuario que publica.</t>
  </si>
  <si>
    <t>nombre_oferta</t>
  </si>
  <si>
    <t>Nombre del cargo.</t>
  </si>
  <si>
    <t>descripcion_oferta</t>
  </si>
  <si>
    <t>Detalle, requerimientos y beneficios.</t>
  </si>
  <si>
    <t>salario</t>
  </si>
  <si>
    <t>Rango salarial.</t>
  </si>
  <si>
    <t>fecha_oferta</t>
  </si>
  <si>
    <t>Inicio de la convocatoria.</t>
  </si>
  <si>
    <t>fecha_caducidad</t>
  </si>
  <si>
    <t>Fin de la convocatoria.</t>
  </si>
  <si>
    <t>id_req_empleo</t>
  </si>
  <si>
    <t>Identificador único para cada requisito individual.</t>
  </si>
  <si>
    <t>PK principal de la tabla.</t>
  </si>
  <si>
    <t>Código que relaciona el requisito a una oferta laboral específica.</t>
  </si>
  <si>
    <t>Referencia a t_bolsa_empleo.</t>
  </si>
  <si>
    <t>descripcion_requerimiento</t>
  </si>
  <si>
    <t>El texto detallado del perfil solicitado</t>
  </si>
  <si>
    <t>id_producto</t>
  </si>
  <si>
    <t>Identifica el producto</t>
  </si>
  <si>
    <t>id_categoria_producto</t>
  </si>
  <si>
    <t>Categoría del artículo.</t>
  </si>
  <si>
    <t>Referencia a t_maestra_categoria_producto.</t>
  </si>
  <si>
    <t>id_usuario_vendedor</t>
  </si>
  <si>
    <t>Relaciona un nombre de usuario con el producto/servicio a vender</t>
  </si>
  <si>
    <t>id_estado_producto</t>
  </si>
  <si>
    <t>Estado de disponibilidad.</t>
  </si>
  <si>
    <t>Referencia a t_maestra_estado_producto.</t>
  </si>
  <si>
    <t>nombre_producto</t>
  </si>
  <si>
    <t>Indica el nombre del producto</t>
  </si>
  <si>
    <t xml:space="preserve">Ejemplo: Libro de Cálculo </t>
  </si>
  <si>
    <t>descripcion_producto</t>
  </si>
  <si>
    <t>Describe la información del producto</t>
  </si>
  <si>
    <t xml:space="preserve">TEXTO </t>
  </si>
  <si>
    <t>Información extensa del artículo.</t>
  </si>
  <si>
    <t>precio</t>
  </si>
  <si>
    <t>Establece el valor por el cual se vende</t>
  </si>
  <si>
    <t>Formato monetario (ej: 50000.00).</t>
  </si>
  <si>
    <t>Establece la fecha en la cual se publicó la oferta</t>
  </si>
  <si>
    <t>Para control de vigencia.</t>
  </si>
  <si>
    <t>ID único de la categoría.</t>
  </si>
  <si>
    <t>Nombre del rubro</t>
  </si>
  <si>
    <t>Identificador único del estado.</t>
  </si>
  <si>
    <t>Condición actual del anuncio.</t>
  </si>
  <si>
    <t>id_mensaje</t>
  </si>
  <si>
    <t>Identifica el mensaje</t>
  </si>
  <si>
    <t>id_usuario_emisor</t>
  </si>
  <si>
    <t>Usuario que envía el mensaje</t>
  </si>
  <si>
    <t>id_usuario_receptor</t>
  </si>
  <si>
    <t>Usuario que recibe el mensaje</t>
  </si>
  <si>
    <t>id_estado_msj</t>
  </si>
  <si>
    <t>Estado actual del mensaje.</t>
  </si>
  <si>
    <t>fecha_envio</t>
  </si>
  <si>
    <t>Indica la fecha y hora en la que se realiza el envío del mensaje</t>
  </si>
  <si>
    <t>Nombre del estado.</t>
  </si>
  <si>
    <t>icono_visual</t>
  </si>
  <si>
    <t>Referencia gráfica.</t>
  </si>
  <si>
    <t>Usuario que se inscribe al evento.</t>
  </si>
  <si>
    <t>Código de la actividad o evento.</t>
  </si>
  <si>
    <t>fecha_inscripcion</t>
  </si>
  <si>
    <t>Registro de separación de cupo.</t>
  </si>
  <si>
    <t>Trazabilidad</t>
  </si>
  <si>
    <t>estado_confirmacion</t>
  </si>
  <si>
    <t>Indica la intención de asistencia.</t>
  </si>
  <si>
    <t>Valores: Ejemplo Confirmado, Pendiente, Cancelado.</t>
  </si>
  <si>
    <t xml:space="preserve">        t_usuario_usuario</t>
  </si>
  <si>
    <t>id_seguidor</t>
  </si>
  <si>
    <t>Usuario que inicia el seguimiento.</t>
  </si>
  <si>
    <t>UUI</t>
  </si>
  <si>
    <t>id_seguido</t>
  </si>
  <si>
    <t>Usuario que recibe el seguimiento.</t>
  </si>
  <si>
    <t>tipo_relacion</t>
  </si>
  <si>
    <t>Categoría del vínculo (Mentoría, etc.).</t>
  </si>
  <si>
    <t>Valores: Mentoría, Académico, Social.</t>
  </si>
  <si>
    <t>fecha_interaccion</t>
  </si>
  <si>
    <t>Fecha de inicio de la relación.</t>
  </si>
  <si>
    <t>Trazabilidad del vínculo.</t>
  </si>
  <si>
    <t>Tipos de Datos - Tabla Comparativa</t>
  </si>
  <si>
    <t>Tipo de Dato Genérico</t>
  </si>
  <si>
    <t>Tipos de Dato - PostgreSQL</t>
  </si>
  <si>
    <t>SERIAL</t>
  </si>
  <si>
    <t>INT - INTEGER</t>
  </si>
  <si>
    <t>DECIMAL - NUMERIC</t>
  </si>
  <si>
    <t>BOOLEAN (TRUE - FALSE - NULL)</t>
  </si>
  <si>
    <t>TEXT</t>
  </si>
  <si>
    <t>CARACTER</t>
  </si>
  <si>
    <t>VARCHAR (ÓPTIMO) - CHAR</t>
  </si>
  <si>
    <t>TIMESTAMP - TIMESTAMPTZ (time zone)</t>
  </si>
  <si>
    <t>IMAGEN</t>
  </si>
  <si>
    <t xml:space="preserve">VARCHAR  </t>
  </si>
  <si>
    <t>AUDIO</t>
  </si>
  <si>
    <t>VARCHAR</t>
  </si>
  <si>
    <t>URL</t>
  </si>
  <si>
    <t>VARCHAR - TEXT</t>
  </si>
  <si>
    <t>ENUM</t>
  </si>
  <si>
    <t>TEXTO_CORTO (opcional)</t>
  </si>
  <si>
    <t>BINARIO (opcional)</t>
  </si>
  <si>
    <t>BYTEA</t>
  </si>
  <si>
    <t>JSON</t>
  </si>
  <si>
    <t>JSON - JSONB</t>
  </si>
  <si>
    <t>-</t>
  </si>
  <si>
    <t>Inventario de Tablas</t>
  </si>
  <si>
    <t xml:space="preserve">t_maestra_categoria_evento                      </t>
  </si>
  <si>
    <t>Tipo Dato
 (Genérico)</t>
  </si>
  <si>
    <t>Utilizamos este tipo de dato para fortalecer la seguridad de la capa de autenticación.</t>
  </si>
  <si>
    <t>Es UUID para coincidir con la PK de t_usuario. Es UNIQUE porque un usuario solo tiene una credencial (1:1).</t>
  </si>
  <si>
    <t>VARCHAR es ideal para los correos. El UNIQUE evita que alguien use el mismo correo para otras cuentas.</t>
  </si>
  <si>
    <t>contrasena</t>
  </si>
  <si>
    <t xml:space="preserve"> porque las contraseñas se guardan como un hash (cifradas) y estas cadenas pueden ser muy largas.</t>
  </si>
  <si>
    <t>TIMESTAMP</t>
  </si>
  <si>
    <t>Almacena fecha y hora exacta.</t>
  </si>
  <si>
    <t>En este campo el usuario consignará información con respecto a sus gustos personales.</t>
  </si>
  <si>
    <t>fecha_graduacion</t>
  </si>
  <si>
    <t>cargo</t>
  </si>
  <si>
    <t>NUMERIC</t>
  </si>
  <si>
    <t>s_apellido</t>
  </si>
  <si>
    <t>TIMESTAMPTZ</t>
  </si>
  <si>
    <t>Estado: Publicada, Borrador</t>
  </si>
  <si>
    <t>BOOLEAN</t>
  </si>
  <si>
    <t>Nombre de la categoría de publicación, identifica si es una imagen, video o texto.</t>
  </si>
  <si>
    <t xml:space="preserve">Simplemente se guardará la URL </t>
  </si>
  <si>
    <t xml:space="preserve">Etiquetas: Social, Cultural, Académico, Investigativo, </t>
  </si>
  <si>
    <t>Clasificación del espacio</t>
  </si>
  <si>
    <t>Valores: Virtual, Presencial</t>
  </si>
  <si>
    <t>Tener en cuenta que en una tabla de unión, los campos son INT porque son llaves foráneas receptoras. El número ya fue generado en la tabla maestra o en la de eventos.</t>
  </si>
  <si>
    <t>categoria_evento</t>
  </si>
  <si>
    <t>Etiquetas: Social, Cultural, Académico, Investigativo.</t>
  </si>
  <si>
    <t>(12,2)</t>
  </si>
  <si>
    <t>fecha_i_oferta</t>
  </si>
  <si>
    <t>fecha_f_oferta</t>
  </si>
  <si>
    <t>nombre_categoria_product</t>
  </si>
  <si>
    <t>Valores: Comestible, Moda, Tecnología, Hogar, Aseo, Belleza, Juegos, Otros</t>
  </si>
  <si>
    <t>Valores: Disponible, Reservado, Vendido, Agotado.</t>
  </si>
  <si>
    <t>Tipo Dato</t>
  </si>
  <si>
    <t>Texto del mensaje, imagen, audio, video</t>
  </si>
  <si>
    <t>Valores: Enviado, No Enviado, Leído</t>
  </si>
  <si>
    <t>Símbolo de identificación del estado del mensaje</t>
  </si>
  <si>
    <t>Valores: Confirmado, Pendiente, Cancelado.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</si>
</sst>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2.0"/>
      <color rgb="FF980000"/>
      <name val="Calibri"/>
    </font>
    <font>
      <b/>
      <color theme="1"/>
      <name val="Arial"/>
      <scheme val="minor"/>
    </font>
    <font>
      <b/>
      <sz val="14.0"/>
      <color rgb="FFFFFFFF"/>
      <name val="Calibri"/>
    </font>
    <font>
      <b/>
      <sz val="18.0"/>
      <color rgb="FFFFFFFF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  <scheme val="minor"/>
    </font>
    <font>
      <color theme="1"/>
      <name val="Arial"/>
    </font>
    <font>
      <b/>
      <sz val="11.0"/>
      <color rgb="FF0000FF"/>
      <name val="Arial"/>
    </font>
    <font>
      <b/>
      <sz val="11.0"/>
      <color theme="1"/>
      <name val="Arial"/>
    </font>
    <font/>
    <font>
      <sz val="11.0"/>
      <color theme="1"/>
      <name val="Arial"/>
    </font>
    <font>
      <sz val="11.0"/>
      <color rgb="FF1F1F1F"/>
      <name val="Arial"/>
    </font>
    <font>
      <sz val="12.0"/>
      <color rgb="FF000000"/>
      <name val="Calibri"/>
    </font>
    <font>
      <b/>
      <sz val="15.0"/>
      <color rgb="FF0000FF"/>
      <name val="Calibri"/>
    </font>
    <font>
      <b/>
      <sz val="14.0"/>
      <color theme="1"/>
      <name val="Calibri"/>
    </font>
    <font>
      <b/>
      <color theme="1"/>
      <name val="Arial"/>
    </font>
    <font>
      <b/>
      <sz val="13.0"/>
      <color theme="1"/>
      <name val="Arial"/>
    </font>
    <font>
      <sz val="13.0"/>
      <color theme="1"/>
      <name val="Arial"/>
    </font>
    <font>
      <b/>
      <sz val="12.0"/>
      <color rgb="FFFFFFFF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center" vertical="center"/>
    </xf>
    <xf borderId="0" fillId="3" fontId="4" numFmtId="0" xfId="0" applyAlignment="1" applyFill="1" applyFont="1">
      <alignment horizontal="center" vertical="center"/>
    </xf>
    <xf borderId="1" fillId="4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vertical="center"/>
    </xf>
    <xf borderId="0" fillId="0" fontId="8" numFmtId="0" xfId="0" applyAlignment="1" applyFont="1">
      <alignment shrinkToFit="0" wrapText="1"/>
    </xf>
    <xf borderId="0" fillId="2" fontId="4" numFmtId="0" xfId="0" applyAlignment="1" applyFont="1">
      <alignment horizontal="center"/>
    </xf>
    <xf borderId="0" fillId="0" fontId="9" numFmtId="0" xfId="0" applyAlignment="1" applyFont="1">
      <alignment vertical="bottom"/>
    </xf>
    <xf borderId="1" fillId="5" fontId="10" numFmtId="0" xfId="0" applyAlignment="1" applyBorder="1" applyFill="1" applyFont="1">
      <alignment horizontal="center" shrinkToFit="0" wrapText="1"/>
    </xf>
    <xf borderId="2" fillId="6" fontId="11" numFmtId="0" xfId="0" applyAlignment="1" applyBorder="1" applyFill="1" applyFont="1">
      <alignment horizontal="center" shrinkToFit="0" wrapText="1"/>
    </xf>
    <xf borderId="2" fillId="3" fontId="11" numFmtId="0" xfId="0" applyAlignment="1" applyBorder="1" applyFont="1">
      <alignment horizontal="center" shrinkToFit="0" wrapText="1"/>
    </xf>
    <xf borderId="3" fillId="0" fontId="12" numFmtId="0" xfId="0" applyBorder="1" applyFont="1"/>
    <xf borderId="4" fillId="0" fontId="12" numFmtId="0" xfId="0" applyBorder="1" applyFont="1"/>
    <xf borderId="2" fillId="0" fontId="11" numFmtId="0" xfId="0" applyAlignment="1" applyBorder="1" applyFont="1">
      <alignment horizontal="center" shrinkToFit="0" wrapText="1"/>
    </xf>
    <xf borderId="1" fillId="6" fontId="11" numFmtId="0" xfId="0" applyAlignment="1" applyBorder="1" applyFont="1">
      <alignment horizontal="center" shrinkToFit="0" wrapText="1"/>
    </xf>
    <xf borderId="1" fillId="3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1" fillId="3" fontId="13" numFmtId="0" xfId="0" applyAlignment="1" applyBorder="1" applyFont="1">
      <alignment shrinkToFit="0" wrapText="1"/>
    </xf>
    <xf borderId="2" fillId="3" fontId="13" numFmtId="0" xfId="0" applyAlignment="1" applyBorder="1" applyFont="1">
      <alignment shrinkToFit="0" wrapText="1"/>
    </xf>
    <xf borderId="2" fillId="3" fontId="13" numFmtId="0" xfId="0" applyAlignment="1" applyBorder="1" applyFont="1">
      <alignment readingOrder="0" shrinkToFit="0" wrapText="1"/>
    </xf>
    <xf borderId="2" fillId="3" fontId="9" numFmtId="0" xfId="0" applyBorder="1" applyFont="1"/>
    <xf borderId="2" fillId="0" fontId="13" numFmtId="0" xfId="0" applyAlignment="1" applyBorder="1" applyFont="1">
      <alignment vertical="bottom"/>
    </xf>
    <xf borderId="5" fillId="0" fontId="13" numFmtId="0" xfId="0" applyAlignment="1" applyBorder="1" applyFont="1">
      <alignment shrinkToFit="0" vertical="bottom" wrapText="1"/>
    </xf>
    <xf borderId="6" fillId="0" fontId="12" numFmtId="0" xfId="0" applyBorder="1" applyFont="1"/>
    <xf borderId="2" fillId="3" fontId="9" numFmtId="0" xfId="0" applyAlignment="1" applyBorder="1" applyFont="1">
      <alignment readingOrder="0"/>
    </xf>
    <xf borderId="5" fillId="0" fontId="12" numFmtId="0" xfId="0" applyBorder="1" applyFont="1"/>
    <xf borderId="1" fillId="0" fontId="14" numFmtId="0" xfId="0" applyAlignment="1" applyBorder="1" applyFont="1">
      <alignment vertical="bottom"/>
    </xf>
    <xf borderId="4" fillId="3" fontId="9" numFmtId="0" xfId="0" applyBorder="1" applyFont="1"/>
    <xf borderId="3" fillId="3" fontId="15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center" readingOrder="0" shrinkToFit="0" wrapText="1"/>
    </xf>
    <xf borderId="1" fillId="3" fontId="13" numFmtId="0" xfId="0" applyAlignment="1" applyBorder="1" applyFont="1">
      <alignment readingOrder="0" shrinkToFit="0" wrapText="1"/>
    </xf>
    <xf borderId="2" fillId="0" fontId="13" numFmtId="0" xfId="0" applyAlignment="1" applyBorder="1" applyFont="1">
      <alignment readingOrder="0" vertical="bottom"/>
    </xf>
    <xf borderId="2" fillId="0" fontId="9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1" fillId="5" fontId="16" numFmtId="0" xfId="0" applyAlignment="1" applyBorder="1" applyFont="1">
      <alignment horizontal="center" shrinkToFit="0" wrapText="1"/>
    </xf>
    <xf borderId="2" fillId="6" fontId="17" numFmtId="0" xfId="0" applyAlignment="1" applyBorder="1" applyFont="1">
      <alignment horizontal="center" shrinkToFit="0" wrapText="1"/>
    </xf>
    <xf borderId="2" fillId="3" fontId="18" numFmtId="0" xfId="0" applyAlignment="1" applyBorder="1" applyFont="1">
      <alignment horizontal="center" shrinkToFit="0" wrapText="1"/>
    </xf>
    <xf borderId="1" fillId="6" fontId="17" numFmtId="0" xfId="0" applyAlignment="1" applyBorder="1" applyFont="1">
      <alignment horizontal="center" shrinkToFit="0" wrapText="1"/>
    </xf>
    <xf borderId="1" fillId="3" fontId="18" numFmtId="0" xfId="0" applyAlignment="1" applyBorder="1" applyFont="1">
      <alignment horizontal="center" shrinkToFit="0" wrapText="1"/>
    </xf>
    <xf borderId="1" fillId="6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3" fontId="9" numFmtId="0" xfId="0" applyAlignment="1" applyBorder="1" applyFont="1">
      <alignment shrinkToFit="0" wrapText="1"/>
    </xf>
    <xf borderId="2" fillId="3" fontId="9" numFmtId="0" xfId="0" applyAlignment="1" applyBorder="1" applyFont="1">
      <alignment shrinkToFit="0" wrapText="1"/>
    </xf>
    <xf borderId="3" fillId="3" fontId="9" numFmtId="0" xfId="0" applyBorder="1" applyFont="1"/>
    <xf borderId="0" fillId="0" fontId="9" numFmtId="0" xfId="0" applyAlignment="1" applyFont="1">
      <alignment readingOrder="0" vertical="bottom"/>
    </xf>
    <xf borderId="1" fillId="3" fontId="9" numFmtId="0" xfId="0" applyBorder="1" applyFont="1"/>
    <xf borderId="2" fillId="3" fontId="9" numFmtId="0" xfId="0" applyAlignment="1" applyBorder="1" applyFont="1">
      <alignment readingOrder="0" shrinkToFit="0" wrapText="1"/>
    </xf>
    <xf borderId="1" fillId="5" fontId="9" numFmtId="0" xfId="0" applyAlignment="1" applyBorder="1" applyFont="1">
      <alignment horizontal="right" vertical="bottom"/>
    </xf>
    <xf borderId="2" fillId="6" fontId="17" numFmtId="0" xfId="0" applyAlignment="1" applyBorder="1" applyFont="1">
      <alignment horizontal="center" shrinkToFit="0" vertical="bottom" wrapText="1"/>
    </xf>
    <xf borderId="2" fillId="3" fontId="9" numFmtId="0" xfId="0" applyAlignment="1" applyBorder="1" applyFont="1">
      <alignment vertical="bottom"/>
    </xf>
    <xf borderId="1" fillId="6" fontId="17" numFmtId="0" xfId="0" applyAlignment="1" applyBorder="1" applyFont="1">
      <alignment horizontal="center" shrinkToFit="0" vertical="bottom" wrapText="1"/>
    </xf>
    <xf borderId="1" fillId="3" fontId="9" numFmtId="0" xfId="0" applyAlignment="1" applyBorder="1" applyFont="1">
      <alignment horizontal="right" vertical="bottom"/>
    </xf>
    <xf borderId="1" fillId="6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1" fillId="3" fontId="9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shrinkToFit="0" vertical="bottom" wrapText="1"/>
    </xf>
    <xf borderId="1" fillId="3" fontId="9" numFmtId="0" xfId="0" applyAlignment="1" applyBorder="1" applyFont="1">
      <alignment readingOrder="0" vertical="bottom"/>
    </xf>
    <xf borderId="2" fillId="3" fontId="13" numFmtId="0" xfId="0" applyAlignment="1" applyBorder="1" applyFont="1">
      <alignment shrinkToFit="0" vertical="bottom" wrapText="1"/>
    </xf>
    <xf borderId="2" fillId="3" fontId="9" numFmtId="0" xfId="0" applyAlignment="1" applyBorder="1" applyFont="1">
      <alignment readingOrder="0" vertical="bottom"/>
    </xf>
    <xf borderId="4" fillId="3" fontId="9" numFmtId="0" xfId="0" applyAlignment="1" applyBorder="1" applyFont="1">
      <alignment vertical="bottom"/>
    </xf>
    <xf borderId="2" fillId="3" fontId="9" numFmtId="0" xfId="0" applyAlignment="1" applyBorder="1" applyFont="1">
      <alignment horizontal="right" vertical="bottom"/>
    </xf>
    <xf borderId="7" fillId="0" fontId="19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shrinkToFit="0" wrapText="1"/>
    </xf>
    <xf borderId="8" fillId="3" fontId="9" numFmtId="0" xfId="0" applyAlignment="1" applyBorder="1" applyFont="1">
      <alignment vertical="bottom"/>
    </xf>
    <xf borderId="1" fillId="3" fontId="19" numFmtId="0" xfId="0" applyAlignment="1" applyBorder="1" applyFont="1">
      <alignment horizontal="center" shrinkToFit="0" wrapText="1"/>
    </xf>
    <xf borderId="1" fillId="0" fontId="20" numFmtId="0" xfId="0" applyAlignment="1" applyBorder="1" applyFont="1">
      <alignment vertical="bottom"/>
    </xf>
    <xf borderId="6" fillId="0" fontId="20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0" fillId="2" fontId="21" numFmtId="0" xfId="0" applyAlignment="1" applyFont="1">
      <alignment horizontal="center" vertical="center"/>
    </xf>
    <xf borderId="0" fillId="4" fontId="5" numFmtId="0" xfId="0" applyAlignment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vertical="center"/>
    </xf>
    <xf borderId="0" fillId="2" fontId="21" numFmtId="0" xfId="0" applyAlignment="1" applyFont="1">
      <alignment horizontal="center" readingOrder="0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11" fillId="0" fontId="12" numFmtId="0" xfId="0" applyBorder="1" applyFont="1"/>
    <xf borderId="12" fillId="0" fontId="12" numFmtId="0" xfId="0" applyBorder="1" applyFont="1"/>
    <xf borderId="13" fillId="0" fontId="12" numFmtId="0" xfId="0" applyBorder="1" applyFont="1"/>
    <xf borderId="2" fillId="0" fontId="6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readingOrder="0" shrinkToFit="0" vertical="center" wrapText="1"/>
    </xf>
    <xf borderId="0" fillId="2" fontId="3" numFmtId="0" xfId="0" applyAlignment="1" applyFont="1">
      <alignment horizontal="center" readingOrder="0" shrinkToFit="0" wrapText="0"/>
    </xf>
    <xf borderId="0" fillId="0" fontId="22" numFmtId="0" xfId="0" applyAlignment="1" applyFont="1">
      <alignment shrinkToFit="0" vertical="bottom" wrapText="0"/>
    </xf>
    <xf borderId="1" fillId="5" fontId="10" numFmtId="0" xfId="0" applyAlignment="1" applyBorder="1" applyFont="1">
      <alignment horizontal="center" shrinkToFit="0" wrapText="1"/>
    </xf>
    <xf borderId="3" fillId="6" fontId="5" numFmtId="0" xfId="0" applyAlignment="1" applyBorder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1" fillId="6" fontId="5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left" readingOrder="0"/>
    </xf>
    <xf borderId="3" fillId="3" fontId="15" numFmtId="0" xfId="0" applyAlignment="1" applyBorder="1" applyFont="1">
      <alignment horizontal="left"/>
    </xf>
    <xf borderId="4" fillId="3" fontId="15" numFmtId="0" xfId="0" applyAlignment="1" applyBorder="1" applyFont="1">
      <alignment horizontal="left"/>
    </xf>
    <xf borderId="2" fillId="6" fontId="11" numFmtId="0" xfId="0" applyAlignment="1" applyBorder="1" applyFont="1">
      <alignment horizontal="center" shrinkToFit="0" wrapText="1"/>
    </xf>
    <xf borderId="2" fillId="3" fontId="11" numFmtId="0" xfId="0" applyAlignment="1" applyBorder="1" applyFont="1">
      <alignment horizontal="center" shrinkToFit="0" wrapText="1"/>
    </xf>
    <xf borderId="2" fillId="0" fontId="11" numFmtId="0" xfId="0" applyAlignment="1" applyBorder="1" applyFont="1">
      <alignment horizontal="center" shrinkToFit="0" wrapText="1"/>
    </xf>
    <xf borderId="1" fillId="6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5" fillId="0" fontId="8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2" fillId="0" fontId="8" numFmtId="0" xfId="0" applyBorder="1" applyFont="1"/>
    <xf borderId="2" fillId="0" fontId="8" numFmtId="0" xfId="0" applyAlignment="1" applyBorder="1" applyFont="1">
      <alignment readingOrder="0" shrinkToFit="0" wrapText="1"/>
    </xf>
    <xf borderId="1" fillId="3" fontId="18" numFmtId="0" xfId="0" applyAlignment="1" applyBorder="1" applyFont="1">
      <alignment horizontal="center" readingOrder="0" shrinkToFit="0" wrapText="1"/>
    </xf>
    <xf borderId="1" fillId="3" fontId="9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readingOrder="0" vertical="bottom"/>
    </xf>
    <xf borderId="2" fillId="0" fontId="9" numFmtId="0" xfId="0" applyAlignment="1" applyBorder="1" applyFont="1">
      <alignment shrinkToFit="0" vertical="bottom" wrapText="1"/>
    </xf>
    <xf borderId="2" fillId="0" fontId="9" numFmtId="0" xfId="0" applyAlignment="1" applyBorder="1" applyFont="1">
      <alignment readingOrder="0" vertical="bottom"/>
    </xf>
    <xf borderId="2" fillId="3" fontId="9" numFmtId="0" xfId="0" applyAlignment="1" applyBorder="1" applyFont="1">
      <alignment horizontal="right" readingOrder="0" vertical="bottom"/>
    </xf>
    <xf borderId="2" fillId="3" fontId="9" numFmtId="49" xfId="0" applyAlignment="1" applyBorder="1" applyFont="1" applyNumberFormat="1">
      <alignment horizontal="right" readingOrder="0" vertical="bottom"/>
    </xf>
    <xf borderId="2" fillId="6" fontId="17" numFmtId="0" xfId="0" applyAlignment="1" applyBorder="1" applyFont="1">
      <alignment horizontal="center" readingOrder="0" shrinkToFit="0" vertical="bottom" wrapText="1"/>
    </xf>
    <xf borderId="2" fillId="3" fontId="1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0</xdr:rowOff>
    </xdr:from>
    <xdr:ext cx="10020300" cy="6162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3">
      <c r="B3" s="1"/>
    </row>
    <row r="4">
      <c r="B4" s="1"/>
    </row>
    <row r="6">
      <c r="C6" s="1"/>
    </row>
    <row r="13">
      <c r="C1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27.25"/>
    <col customWidth="1" min="3" max="3" width="51.25"/>
    <col customWidth="1" min="4" max="4" width="0.38"/>
    <col customWidth="1" min="5" max="5" width="3.25"/>
    <col customWidth="1" min="6" max="6" width="0.38"/>
    <col customWidth="1" min="8" max="8" width="1.75"/>
    <col customWidth="1" min="9" max="9" width="3.38"/>
    <col customWidth="1" min="10" max="10" width="4.38"/>
    <col customWidth="1" min="14" max="14" width="1.38"/>
  </cols>
  <sheetData>
    <row r="1" ht="28.5" customHeight="1">
      <c r="A1" s="3" t="s">
        <v>0</v>
      </c>
      <c r="E1" s="4"/>
      <c r="F1" s="4"/>
      <c r="G1" s="4"/>
      <c r="H1" s="4"/>
      <c r="I1" s="4"/>
    </row>
    <row r="2" ht="36.0" customHeight="1">
      <c r="A2" s="5" t="s">
        <v>1</v>
      </c>
      <c r="B2" s="5" t="s">
        <v>2</v>
      </c>
      <c r="C2" s="5" t="s">
        <v>3</v>
      </c>
      <c r="D2" s="5" t="s">
        <v>4</v>
      </c>
    </row>
    <row r="3" ht="30.0" customHeight="1">
      <c r="A3" s="6">
        <v>1.0</v>
      </c>
      <c r="B3" s="7" t="s">
        <v>5</v>
      </c>
      <c r="C3" s="8" t="s">
        <v>6</v>
      </c>
      <c r="D3" s="9"/>
    </row>
    <row r="4" ht="30.0" customHeight="1">
      <c r="A4" s="6">
        <f t="shared" ref="A4:A34" si="1">A3+1</f>
        <v>2</v>
      </c>
      <c r="B4" s="7" t="s">
        <v>7</v>
      </c>
      <c r="C4" s="8" t="s">
        <v>8</v>
      </c>
      <c r="D4" s="9"/>
    </row>
    <row r="5" ht="30.0" customHeight="1">
      <c r="A5" s="6">
        <f t="shared" si="1"/>
        <v>3</v>
      </c>
      <c r="B5" s="7" t="s">
        <v>9</v>
      </c>
      <c r="C5" s="8" t="s">
        <v>10</v>
      </c>
      <c r="D5" s="9"/>
    </row>
    <row r="6" ht="30.0" customHeight="1">
      <c r="A6" s="6">
        <f t="shared" si="1"/>
        <v>4</v>
      </c>
      <c r="B6" s="7" t="s">
        <v>11</v>
      </c>
      <c r="C6" s="8" t="s">
        <v>12</v>
      </c>
      <c r="D6" s="9"/>
    </row>
    <row r="7" ht="30.0" customHeight="1">
      <c r="A7" s="6">
        <f t="shared" si="1"/>
        <v>5</v>
      </c>
      <c r="B7" s="7" t="s">
        <v>13</v>
      </c>
      <c r="C7" s="8" t="s">
        <v>14</v>
      </c>
      <c r="D7" s="9"/>
    </row>
    <row r="8" ht="30.0" customHeight="1">
      <c r="A8" s="6">
        <f t="shared" si="1"/>
        <v>6</v>
      </c>
      <c r="B8" s="7" t="s">
        <v>15</v>
      </c>
      <c r="C8" s="8" t="s">
        <v>16</v>
      </c>
      <c r="D8" s="9"/>
    </row>
    <row r="9" ht="30.0" customHeight="1">
      <c r="A9" s="6">
        <f t="shared" si="1"/>
        <v>7</v>
      </c>
      <c r="B9" s="7" t="s">
        <v>17</v>
      </c>
      <c r="C9" s="8" t="s">
        <v>18</v>
      </c>
      <c r="D9" s="9"/>
    </row>
    <row r="10" ht="30.0" customHeight="1">
      <c r="A10" s="6">
        <f t="shared" si="1"/>
        <v>8</v>
      </c>
      <c r="B10" s="7" t="s">
        <v>19</v>
      </c>
      <c r="C10" s="8" t="s">
        <v>20</v>
      </c>
      <c r="D10" s="9"/>
    </row>
    <row r="11" ht="30.0" customHeight="1">
      <c r="A11" s="6">
        <f t="shared" si="1"/>
        <v>9</v>
      </c>
      <c r="B11" s="7" t="s">
        <v>21</v>
      </c>
      <c r="C11" s="8" t="s">
        <v>22</v>
      </c>
      <c r="D11" s="9"/>
    </row>
    <row r="12" ht="30.0" customHeight="1">
      <c r="A12" s="6">
        <f t="shared" si="1"/>
        <v>10</v>
      </c>
      <c r="B12" s="7" t="s">
        <v>23</v>
      </c>
      <c r="C12" s="8" t="s">
        <v>24</v>
      </c>
      <c r="D12" s="9"/>
    </row>
    <row r="13" ht="30.0" customHeight="1">
      <c r="A13" s="6">
        <f t="shared" si="1"/>
        <v>11</v>
      </c>
      <c r="B13" s="7" t="s">
        <v>25</v>
      </c>
      <c r="C13" s="8" t="s">
        <v>26</v>
      </c>
      <c r="D13" s="9"/>
    </row>
    <row r="14" ht="30.0" customHeight="1">
      <c r="A14" s="6">
        <f t="shared" si="1"/>
        <v>12</v>
      </c>
      <c r="B14" s="10" t="s">
        <v>27</v>
      </c>
      <c r="C14" s="8" t="s">
        <v>28</v>
      </c>
      <c r="D14" s="11"/>
    </row>
    <row r="15" ht="30.0" customHeight="1">
      <c r="A15" s="6">
        <f t="shared" si="1"/>
        <v>13</v>
      </c>
      <c r="B15" s="10" t="s">
        <v>29</v>
      </c>
      <c r="C15" s="8" t="s">
        <v>30</v>
      </c>
      <c r="D15" s="11"/>
    </row>
    <row r="16" ht="30.0" customHeight="1">
      <c r="A16" s="6">
        <f t="shared" si="1"/>
        <v>14</v>
      </c>
      <c r="B16" s="10" t="s">
        <v>31</v>
      </c>
      <c r="C16" s="8" t="s">
        <v>32</v>
      </c>
      <c r="D16" s="11"/>
    </row>
    <row r="17" ht="30.0" customHeight="1">
      <c r="A17" s="6">
        <f t="shared" si="1"/>
        <v>15</v>
      </c>
      <c r="B17" s="10" t="s">
        <v>33</v>
      </c>
      <c r="C17" s="8" t="s">
        <v>34</v>
      </c>
      <c r="D17" s="11"/>
    </row>
    <row r="18" ht="30.0" customHeight="1">
      <c r="A18" s="6">
        <f t="shared" si="1"/>
        <v>16</v>
      </c>
      <c r="B18" s="10" t="s">
        <v>35</v>
      </c>
      <c r="C18" s="8" t="s">
        <v>36</v>
      </c>
      <c r="D18" s="11"/>
    </row>
    <row r="19" ht="30.0" customHeight="1">
      <c r="A19" s="6">
        <f t="shared" si="1"/>
        <v>17</v>
      </c>
      <c r="B19" s="10" t="s">
        <v>37</v>
      </c>
      <c r="C19" s="8" t="s">
        <v>38</v>
      </c>
      <c r="D19" s="11"/>
    </row>
    <row r="20" ht="30.0" customHeight="1">
      <c r="A20" s="6">
        <f t="shared" si="1"/>
        <v>18</v>
      </c>
      <c r="B20" s="10" t="s">
        <v>39</v>
      </c>
      <c r="C20" s="8" t="s">
        <v>40</v>
      </c>
      <c r="D20" s="11"/>
    </row>
    <row r="21" ht="30.0" customHeight="1">
      <c r="A21" s="6">
        <f t="shared" si="1"/>
        <v>19</v>
      </c>
      <c r="B21" s="10" t="s">
        <v>41</v>
      </c>
      <c r="C21" s="8" t="s">
        <v>42</v>
      </c>
      <c r="D21" s="11"/>
    </row>
    <row r="22" ht="30.0" customHeight="1">
      <c r="A22" s="6">
        <f t="shared" si="1"/>
        <v>20</v>
      </c>
      <c r="B22" s="10" t="s">
        <v>43</v>
      </c>
      <c r="C22" s="8" t="s">
        <v>44</v>
      </c>
      <c r="D22" s="11"/>
    </row>
    <row r="23" ht="30.0" customHeight="1">
      <c r="A23" s="6">
        <f t="shared" si="1"/>
        <v>21</v>
      </c>
      <c r="B23" s="10" t="s">
        <v>45</v>
      </c>
      <c r="C23" s="8" t="s">
        <v>46</v>
      </c>
      <c r="D23" s="11"/>
    </row>
    <row r="24" ht="30.0" customHeight="1">
      <c r="A24" s="6">
        <f t="shared" si="1"/>
        <v>22</v>
      </c>
      <c r="B24" s="10" t="s">
        <v>47</v>
      </c>
      <c r="C24" s="8" t="s">
        <v>48</v>
      </c>
      <c r="D24" s="11"/>
    </row>
    <row r="25" ht="30.0" customHeight="1">
      <c r="A25" s="6">
        <f t="shared" si="1"/>
        <v>23</v>
      </c>
      <c r="B25" s="10" t="s">
        <v>49</v>
      </c>
      <c r="C25" s="8" t="s">
        <v>50</v>
      </c>
      <c r="D25" s="11"/>
    </row>
    <row r="26" ht="30.0" customHeight="1">
      <c r="A26" s="6">
        <f t="shared" si="1"/>
        <v>24</v>
      </c>
      <c r="B26" s="10" t="s">
        <v>51</v>
      </c>
      <c r="C26" s="8" t="s">
        <v>52</v>
      </c>
      <c r="D26" s="11"/>
    </row>
    <row r="27" ht="30.0" customHeight="1">
      <c r="A27" s="6">
        <f t="shared" si="1"/>
        <v>25</v>
      </c>
      <c r="B27" s="10" t="s">
        <v>53</v>
      </c>
      <c r="C27" s="8" t="s">
        <v>54</v>
      </c>
      <c r="D27" s="11"/>
    </row>
    <row r="28" ht="30.0" customHeight="1">
      <c r="A28" s="6">
        <f t="shared" si="1"/>
        <v>26</v>
      </c>
      <c r="B28" s="7" t="s">
        <v>55</v>
      </c>
      <c r="C28" s="8" t="s">
        <v>56</v>
      </c>
      <c r="D28" s="11"/>
    </row>
    <row r="29" ht="30.0" customHeight="1">
      <c r="A29" s="6">
        <f t="shared" si="1"/>
        <v>27</v>
      </c>
      <c r="B29" s="7" t="s">
        <v>57</v>
      </c>
      <c r="C29" s="8" t="s">
        <v>58</v>
      </c>
      <c r="D29" s="11"/>
    </row>
    <row r="30" ht="30.0" customHeight="1">
      <c r="A30" s="6">
        <f t="shared" si="1"/>
        <v>28</v>
      </c>
      <c r="B30" s="7" t="s">
        <v>59</v>
      </c>
      <c r="C30" s="8" t="s">
        <v>60</v>
      </c>
      <c r="D30" s="11"/>
    </row>
    <row r="31" ht="30.0" customHeight="1">
      <c r="A31" s="6">
        <f t="shared" si="1"/>
        <v>29</v>
      </c>
      <c r="B31" s="7" t="s">
        <v>61</v>
      </c>
      <c r="C31" s="8" t="s">
        <v>62</v>
      </c>
      <c r="D31" s="11"/>
    </row>
    <row r="32" ht="30.0" customHeight="1">
      <c r="A32" s="6">
        <f t="shared" si="1"/>
        <v>30</v>
      </c>
      <c r="B32" s="7" t="s">
        <v>63</v>
      </c>
      <c r="C32" s="8" t="s">
        <v>64</v>
      </c>
      <c r="D32" s="11"/>
    </row>
    <row r="33" ht="30.0" customHeight="1">
      <c r="A33" s="6">
        <f t="shared" si="1"/>
        <v>31</v>
      </c>
      <c r="B33" s="7" t="s">
        <v>65</v>
      </c>
      <c r="C33" s="8" t="s">
        <v>66</v>
      </c>
      <c r="D33" s="11"/>
    </row>
    <row r="34" ht="30.0" customHeight="1">
      <c r="A34" s="6">
        <f t="shared" si="1"/>
        <v>32</v>
      </c>
      <c r="B34" s="7" t="s">
        <v>67</v>
      </c>
      <c r="C34" s="8" t="s">
        <v>68</v>
      </c>
      <c r="D34" s="11"/>
    </row>
    <row r="35" ht="15.75" customHeight="1">
      <c r="C35" s="12"/>
    </row>
    <row r="36" ht="23.25" customHeight="1">
      <c r="A36" s="13" t="s">
        <v>69</v>
      </c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t="15.75" customHeight="1">
      <c r="A38" s="15">
        <v>1.0</v>
      </c>
      <c r="B38" s="16" t="s">
        <v>2</v>
      </c>
      <c r="C38" s="17" t="s">
        <v>5</v>
      </c>
      <c r="D38" s="18"/>
      <c r="E38" s="18"/>
      <c r="F38" s="19"/>
      <c r="G38" s="16" t="s">
        <v>3</v>
      </c>
      <c r="H38" s="18"/>
      <c r="I38" s="18"/>
      <c r="J38" s="19"/>
      <c r="K38" s="20" t="s">
        <v>6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9"/>
      <c r="X38" s="21" t="s">
        <v>70</v>
      </c>
      <c r="Y38" s="22">
        <v>1.0</v>
      </c>
    </row>
    <row r="39" ht="15.75" customHeight="1">
      <c r="A39" s="21" t="s">
        <v>1</v>
      </c>
      <c r="B39" s="21" t="s">
        <v>71</v>
      </c>
      <c r="C39" s="16" t="s">
        <v>72</v>
      </c>
      <c r="D39" s="18"/>
      <c r="E39" s="18"/>
      <c r="F39" s="19"/>
      <c r="G39" s="16" t="s">
        <v>73</v>
      </c>
      <c r="H39" s="18"/>
      <c r="I39" s="18"/>
      <c r="J39" s="19"/>
      <c r="K39" s="16" t="s">
        <v>74</v>
      </c>
      <c r="L39" s="18"/>
      <c r="M39" s="18"/>
      <c r="N39" s="19"/>
      <c r="O39" s="16" t="s">
        <v>75</v>
      </c>
      <c r="P39" s="18"/>
      <c r="Q39" s="19"/>
      <c r="R39" s="16" t="s">
        <v>76</v>
      </c>
      <c r="S39" s="19"/>
      <c r="T39" s="16" t="s">
        <v>77</v>
      </c>
      <c r="U39" s="19"/>
      <c r="V39" s="16" t="s">
        <v>78</v>
      </c>
      <c r="W39" s="19"/>
      <c r="X39" s="16" t="s">
        <v>79</v>
      </c>
      <c r="Y39" s="19"/>
    </row>
    <row r="40" ht="15.75" customHeight="1">
      <c r="A40" s="23">
        <v>1.0</v>
      </c>
      <c r="B40" s="24" t="s">
        <v>80</v>
      </c>
      <c r="C40" s="25" t="s">
        <v>81</v>
      </c>
      <c r="D40" s="18"/>
      <c r="E40" s="18"/>
      <c r="F40" s="19"/>
      <c r="G40" s="26" t="s">
        <v>82</v>
      </c>
      <c r="H40" s="18"/>
      <c r="I40" s="18"/>
      <c r="J40" s="19"/>
      <c r="K40" s="27"/>
      <c r="L40" s="18"/>
      <c r="M40" s="18"/>
      <c r="N40" s="19"/>
      <c r="O40" s="25" t="s">
        <v>83</v>
      </c>
      <c r="P40" s="18"/>
      <c r="Q40" s="19"/>
      <c r="R40" s="25" t="s">
        <v>84</v>
      </c>
      <c r="S40" s="19"/>
      <c r="T40" s="27"/>
      <c r="U40" s="19"/>
      <c r="V40" s="27"/>
      <c r="W40" s="19"/>
      <c r="X40" s="25" t="s">
        <v>85</v>
      </c>
      <c r="Y40" s="19"/>
    </row>
    <row r="41" ht="15.75" customHeight="1">
      <c r="A41" s="23">
        <v>2.0</v>
      </c>
      <c r="B41" s="24" t="s">
        <v>86</v>
      </c>
      <c r="C41" s="28" t="s">
        <v>87</v>
      </c>
      <c r="D41" s="18"/>
      <c r="E41" s="18"/>
      <c r="F41" s="19"/>
      <c r="G41" s="26" t="s">
        <v>82</v>
      </c>
      <c r="H41" s="18"/>
      <c r="I41" s="18"/>
      <c r="J41" s="19"/>
      <c r="K41" s="27"/>
      <c r="L41" s="18"/>
      <c r="M41" s="18"/>
      <c r="N41" s="19"/>
      <c r="O41" s="25" t="s">
        <v>83</v>
      </c>
      <c r="P41" s="18"/>
      <c r="Q41" s="19"/>
      <c r="R41" s="27"/>
      <c r="S41" s="19"/>
      <c r="T41" s="25" t="s">
        <v>84</v>
      </c>
      <c r="U41" s="19"/>
      <c r="V41" s="25" t="s">
        <v>84</v>
      </c>
      <c r="W41" s="19"/>
      <c r="X41" s="25" t="s">
        <v>88</v>
      </c>
      <c r="Y41" s="19"/>
    </row>
    <row r="42" ht="15.75" customHeight="1">
      <c r="A42" s="23">
        <v>3.0</v>
      </c>
      <c r="B42" s="24" t="s">
        <v>89</v>
      </c>
      <c r="C42" s="25" t="s">
        <v>90</v>
      </c>
      <c r="D42" s="18"/>
      <c r="E42" s="18"/>
      <c r="F42" s="19"/>
      <c r="G42" s="25" t="s">
        <v>91</v>
      </c>
      <c r="H42" s="18"/>
      <c r="I42" s="18"/>
      <c r="J42" s="19"/>
      <c r="K42" s="26">
        <v>320.0</v>
      </c>
      <c r="L42" s="18"/>
      <c r="M42" s="18"/>
      <c r="N42" s="19"/>
      <c r="O42" s="25" t="s">
        <v>83</v>
      </c>
      <c r="P42" s="18"/>
      <c r="Q42" s="19"/>
      <c r="R42" s="27"/>
      <c r="S42" s="19"/>
      <c r="T42" s="27"/>
      <c r="U42" s="19"/>
      <c r="V42" s="25" t="s">
        <v>84</v>
      </c>
      <c r="W42" s="19"/>
      <c r="X42" s="29" t="s">
        <v>92</v>
      </c>
      <c r="Y42" s="30"/>
    </row>
    <row r="43" ht="15.75" customHeight="1">
      <c r="A43" s="23">
        <v>4.0</v>
      </c>
      <c r="B43" s="24" t="s">
        <v>93</v>
      </c>
      <c r="C43" s="25" t="s">
        <v>94</v>
      </c>
      <c r="D43" s="18"/>
      <c r="E43" s="18"/>
      <c r="F43" s="19"/>
      <c r="G43" s="26" t="s">
        <v>91</v>
      </c>
      <c r="H43" s="18"/>
      <c r="I43" s="18"/>
      <c r="J43" s="19"/>
      <c r="K43" s="31">
        <v>20.0</v>
      </c>
      <c r="L43" s="18"/>
      <c r="M43" s="18"/>
      <c r="N43" s="19"/>
      <c r="O43" s="25" t="s">
        <v>83</v>
      </c>
      <c r="P43" s="18"/>
      <c r="Q43" s="19"/>
      <c r="R43" s="27"/>
      <c r="S43" s="19"/>
      <c r="T43" s="27"/>
      <c r="U43" s="19"/>
      <c r="V43" s="27"/>
      <c r="W43" s="19"/>
      <c r="X43" s="25" t="s">
        <v>95</v>
      </c>
      <c r="Y43" s="19"/>
    </row>
    <row r="44" ht="15.75" customHeight="1">
      <c r="A44" s="23">
        <v>5.0</v>
      </c>
      <c r="B44" s="24" t="s">
        <v>96</v>
      </c>
      <c r="C44" s="29" t="s">
        <v>97</v>
      </c>
      <c r="D44" s="32"/>
      <c r="E44" s="32"/>
      <c r="F44" s="30"/>
      <c r="G44" s="25" t="s">
        <v>98</v>
      </c>
      <c r="H44" s="18"/>
      <c r="I44" s="18"/>
      <c r="J44" s="19"/>
      <c r="K44" s="27"/>
      <c r="L44" s="18"/>
      <c r="M44" s="18"/>
      <c r="N44" s="19"/>
      <c r="O44" s="25" t="s">
        <v>83</v>
      </c>
      <c r="P44" s="18"/>
      <c r="Q44" s="19"/>
      <c r="R44" s="27"/>
      <c r="S44" s="19"/>
      <c r="T44" s="27"/>
      <c r="U44" s="19"/>
      <c r="V44" s="27"/>
      <c r="W44" s="19"/>
      <c r="X44" s="33" t="s">
        <v>99</v>
      </c>
      <c r="Y44" s="3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5.75" customHeight="1">
      <c r="A46" s="15">
        <v>2.0</v>
      </c>
      <c r="B46" s="16" t="s">
        <v>2</v>
      </c>
      <c r="C46" s="17" t="s">
        <v>7</v>
      </c>
      <c r="D46" s="18"/>
      <c r="E46" s="18"/>
      <c r="F46" s="19"/>
      <c r="G46" s="16" t="s">
        <v>3</v>
      </c>
      <c r="H46" s="18"/>
      <c r="I46" s="18"/>
      <c r="J46" s="19"/>
      <c r="K46" s="20" t="s">
        <v>8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9"/>
      <c r="X46" s="21" t="s">
        <v>70</v>
      </c>
      <c r="Y46" s="22">
        <v>1.0</v>
      </c>
    </row>
    <row r="47" ht="15.75" customHeight="1">
      <c r="A47" s="21" t="s">
        <v>1</v>
      </c>
      <c r="B47" s="21" t="s">
        <v>71</v>
      </c>
      <c r="C47" s="16" t="s">
        <v>72</v>
      </c>
      <c r="D47" s="18"/>
      <c r="E47" s="18"/>
      <c r="F47" s="19"/>
      <c r="G47" s="16" t="s">
        <v>73</v>
      </c>
      <c r="H47" s="18"/>
      <c r="I47" s="18"/>
      <c r="J47" s="19"/>
      <c r="K47" s="16" t="s">
        <v>74</v>
      </c>
      <c r="L47" s="18"/>
      <c r="M47" s="18"/>
      <c r="N47" s="19"/>
      <c r="O47" s="16" t="s">
        <v>75</v>
      </c>
      <c r="P47" s="18"/>
      <c r="Q47" s="19"/>
      <c r="R47" s="16" t="s">
        <v>76</v>
      </c>
      <c r="S47" s="19"/>
      <c r="T47" s="16" t="s">
        <v>77</v>
      </c>
      <c r="U47" s="19"/>
      <c r="V47" s="16" t="s">
        <v>78</v>
      </c>
      <c r="W47" s="19"/>
      <c r="X47" s="16" t="s">
        <v>79</v>
      </c>
      <c r="Y47" s="19"/>
    </row>
    <row r="48" ht="15.75" customHeight="1">
      <c r="A48" s="23">
        <v>1.0</v>
      </c>
      <c r="B48" s="24" t="s">
        <v>86</v>
      </c>
      <c r="C48" s="25" t="s">
        <v>100</v>
      </c>
      <c r="D48" s="18"/>
      <c r="E48" s="18"/>
      <c r="F48" s="19"/>
      <c r="G48" s="35" t="s">
        <v>82</v>
      </c>
      <c r="H48" s="18"/>
      <c r="I48" s="18"/>
      <c r="J48" s="19"/>
      <c r="K48" s="27"/>
      <c r="L48" s="18"/>
      <c r="M48" s="18"/>
      <c r="N48" s="19"/>
      <c r="O48" s="25" t="s">
        <v>83</v>
      </c>
      <c r="P48" s="18"/>
      <c r="Q48" s="19"/>
      <c r="R48" s="25" t="s">
        <v>84</v>
      </c>
      <c r="S48" s="19"/>
      <c r="T48" s="27"/>
      <c r="U48" s="19"/>
      <c r="V48" s="27"/>
      <c r="W48" s="19"/>
      <c r="X48" s="25" t="s">
        <v>101</v>
      </c>
      <c r="Y48" s="19"/>
    </row>
    <row r="49" ht="15.75" customHeight="1">
      <c r="A49" s="36">
        <v>2.0</v>
      </c>
      <c r="B49" s="37" t="s">
        <v>102</v>
      </c>
      <c r="C49" s="26" t="s">
        <v>103</v>
      </c>
      <c r="D49" s="18"/>
      <c r="E49" s="18"/>
      <c r="F49" s="19"/>
      <c r="G49" s="25" t="s">
        <v>91</v>
      </c>
      <c r="H49" s="18"/>
      <c r="I49" s="18"/>
      <c r="J49" s="19"/>
      <c r="K49" s="31">
        <v>30.0</v>
      </c>
      <c r="L49" s="18"/>
      <c r="M49" s="18"/>
      <c r="N49" s="19"/>
      <c r="O49" s="26" t="s">
        <v>83</v>
      </c>
      <c r="P49" s="18"/>
      <c r="Q49" s="19"/>
      <c r="R49" s="27"/>
      <c r="S49" s="19"/>
      <c r="T49" s="25"/>
      <c r="U49" s="19"/>
      <c r="V49" s="25"/>
      <c r="W49" s="19"/>
      <c r="X49" s="26" t="s">
        <v>104</v>
      </c>
      <c r="Y49" s="19"/>
    </row>
    <row r="50" ht="15.75" customHeight="1">
      <c r="A50" s="36">
        <v>3.0</v>
      </c>
      <c r="B50" s="37" t="s">
        <v>105</v>
      </c>
      <c r="C50" s="26" t="s">
        <v>106</v>
      </c>
      <c r="D50" s="18"/>
      <c r="E50" s="18"/>
      <c r="F50" s="19"/>
      <c r="G50" s="38" t="s">
        <v>107</v>
      </c>
      <c r="H50" s="18"/>
      <c r="I50" s="18"/>
      <c r="J50" s="19"/>
      <c r="K50" s="27"/>
      <c r="L50" s="18"/>
      <c r="M50" s="18"/>
      <c r="N50" s="19"/>
      <c r="O50" s="26" t="s">
        <v>83</v>
      </c>
      <c r="P50" s="18"/>
      <c r="Q50" s="19"/>
      <c r="R50" s="27"/>
      <c r="S50" s="19"/>
      <c r="T50" s="25"/>
      <c r="U50" s="19"/>
      <c r="V50" s="25"/>
      <c r="W50" s="19"/>
      <c r="X50" s="26" t="s">
        <v>108</v>
      </c>
      <c r="Y50" s="19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ht="15.75" customHeight="1">
      <c r="A52" s="15">
        <v>3.0</v>
      </c>
      <c r="B52" s="16" t="s">
        <v>2</v>
      </c>
      <c r="C52" s="17" t="s">
        <v>9</v>
      </c>
      <c r="D52" s="18"/>
      <c r="E52" s="18"/>
      <c r="F52" s="19"/>
      <c r="G52" s="16" t="s">
        <v>3</v>
      </c>
      <c r="H52" s="18"/>
      <c r="I52" s="18"/>
      <c r="J52" s="19"/>
      <c r="K52" s="39" t="s">
        <v>10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9"/>
      <c r="X52" s="21" t="s">
        <v>70</v>
      </c>
      <c r="Y52" s="22">
        <v>1.0</v>
      </c>
    </row>
    <row r="53" ht="15.75" customHeight="1">
      <c r="A53" s="21" t="s">
        <v>1</v>
      </c>
      <c r="B53" s="21" t="s">
        <v>71</v>
      </c>
      <c r="C53" s="16" t="s">
        <v>72</v>
      </c>
      <c r="D53" s="18"/>
      <c r="E53" s="18"/>
      <c r="F53" s="19"/>
      <c r="G53" s="16" t="s">
        <v>73</v>
      </c>
      <c r="H53" s="18"/>
      <c r="I53" s="18"/>
      <c r="J53" s="19"/>
      <c r="K53" s="16" t="s">
        <v>74</v>
      </c>
      <c r="L53" s="18"/>
      <c r="M53" s="18"/>
      <c r="N53" s="19"/>
      <c r="O53" s="16" t="s">
        <v>75</v>
      </c>
      <c r="P53" s="18"/>
      <c r="Q53" s="19"/>
      <c r="R53" s="16" t="s">
        <v>76</v>
      </c>
      <c r="S53" s="19"/>
      <c r="T53" s="16" t="s">
        <v>77</v>
      </c>
      <c r="U53" s="19"/>
      <c r="V53" s="16" t="s">
        <v>78</v>
      </c>
      <c r="W53" s="19"/>
      <c r="X53" s="16" t="s">
        <v>79</v>
      </c>
      <c r="Y53" s="19"/>
    </row>
    <row r="54" ht="15.75" customHeight="1">
      <c r="A54" s="23">
        <v>1.0</v>
      </c>
      <c r="B54" s="24" t="s">
        <v>109</v>
      </c>
      <c r="C54" s="25" t="s">
        <v>110</v>
      </c>
      <c r="D54" s="18"/>
      <c r="E54" s="18"/>
      <c r="F54" s="19"/>
      <c r="G54" s="26" t="s">
        <v>111</v>
      </c>
      <c r="H54" s="18"/>
      <c r="I54" s="18"/>
      <c r="J54" s="19"/>
      <c r="K54" s="27"/>
      <c r="L54" s="18"/>
      <c r="M54" s="18"/>
      <c r="N54" s="19"/>
      <c r="O54" s="25" t="s">
        <v>83</v>
      </c>
      <c r="P54" s="18"/>
      <c r="Q54" s="19"/>
      <c r="R54" s="25" t="s">
        <v>84</v>
      </c>
      <c r="S54" s="19"/>
      <c r="T54" s="27"/>
      <c r="U54" s="19"/>
      <c r="V54" s="27"/>
      <c r="W54" s="19"/>
      <c r="X54" s="25" t="s">
        <v>112</v>
      </c>
      <c r="Y54" s="19"/>
    </row>
    <row r="55" ht="15.75" customHeight="1">
      <c r="A55" s="23">
        <v>2.0</v>
      </c>
      <c r="B55" s="24" t="s">
        <v>86</v>
      </c>
      <c r="C55" s="28" t="s">
        <v>113</v>
      </c>
      <c r="D55" s="18"/>
      <c r="E55" s="18"/>
      <c r="F55" s="19"/>
      <c r="G55" s="26" t="s">
        <v>82</v>
      </c>
      <c r="H55" s="18"/>
      <c r="I55" s="18"/>
      <c r="J55" s="19"/>
      <c r="K55" s="27"/>
      <c r="L55" s="18"/>
      <c r="M55" s="18"/>
      <c r="N55" s="19"/>
      <c r="O55" s="25" t="s">
        <v>83</v>
      </c>
      <c r="P55" s="18"/>
      <c r="Q55" s="19"/>
      <c r="R55" s="27"/>
      <c r="S55" s="19"/>
      <c r="T55" s="25" t="s">
        <v>84</v>
      </c>
      <c r="U55" s="19"/>
      <c r="V55" s="25" t="s">
        <v>84</v>
      </c>
      <c r="W55" s="19"/>
      <c r="X55" s="25" t="s">
        <v>114</v>
      </c>
      <c r="Y55" s="19"/>
    </row>
    <row r="56" ht="15.75" customHeight="1">
      <c r="A56" s="23">
        <v>3.0</v>
      </c>
      <c r="B56" s="24" t="s">
        <v>115</v>
      </c>
      <c r="C56" s="25" t="s">
        <v>116</v>
      </c>
      <c r="D56" s="18"/>
      <c r="E56" s="18"/>
      <c r="F56" s="19"/>
      <c r="G56" s="38" t="s">
        <v>107</v>
      </c>
      <c r="H56" s="18"/>
      <c r="I56" s="18"/>
      <c r="J56" s="19"/>
      <c r="K56" s="27"/>
      <c r="L56" s="18"/>
      <c r="M56" s="18"/>
      <c r="N56" s="19"/>
      <c r="O56" s="25" t="s">
        <v>117</v>
      </c>
      <c r="P56" s="18"/>
      <c r="Q56" s="19"/>
      <c r="R56" s="27"/>
      <c r="S56" s="19"/>
      <c r="T56" s="27"/>
      <c r="U56" s="19"/>
      <c r="V56" s="27"/>
      <c r="W56" s="19"/>
      <c r="X56" s="40" t="s">
        <v>118</v>
      </c>
      <c r="Y56" s="3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5.75" customHeight="1">
      <c r="A58" s="41">
        <v>4.0</v>
      </c>
      <c r="B58" s="42" t="s">
        <v>2</v>
      </c>
      <c r="C58" s="43" t="s">
        <v>11</v>
      </c>
      <c r="D58" s="18"/>
      <c r="E58" s="18"/>
      <c r="F58" s="19"/>
      <c r="G58" s="42" t="s">
        <v>3</v>
      </c>
      <c r="H58" s="18"/>
      <c r="I58" s="18"/>
      <c r="J58" s="19"/>
      <c r="K58" s="39" t="s">
        <v>12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9"/>
      <c r="X58" s="44" t="s">
        <v>70</v>
      </c>
      <c r="Y58" s="45">
        <v>1.0</v>
      </c>
    </row>
    <row r="59" ht="15.75" customHeight="1">
      <c r="A59" s="46" t="s">
        <v>1</v>
      </c>
      <c r="B59" s="44" t="s">
        <v>71</v>
      </c>
      <c r="C59" s="42" t="s">
        <v>72</v>
      </c>
      <c r="D59" s="18"/>
      <c r="E59" s="18"/>
      <c r="F59" s="19"/>
      <c r="G59" s="42" t="s">
        <v>73</v>
      </c>
      <c r="H59" s="18"/>
      <c r="I59" s="18"/>
      <c r="J59" s="19"/>
      <c r="K59" s="42" t="s">
        <v>74</v>
      </c>
      <c r="L59" s="18"/>
      <c r="M59" s="18"/>
      <c r="N59" s="19"/>
      <c r="O59" s="42" t="s">
        <v>75</v>
      </c>
      <c r="P59" s="18"/>
      <c r="Q59" s="19"/>
      <c r="R59" s="42" t="s">
        <v>76</v>
      </c>
      <c r="S59" s="19"/>
      <c r="T59" s="42" t="s">
        <v>77</v>
      </c>
      <c r="U59" s="19"/>
      <c r="V59" s="42" t="s">
        <v>78</v>
      </c>
      <c r="W59" s="19"/>
      <c r="X59" s="42" t="s">
        <v>79</v>
      </c>
      <c r="Y59" s="19"/>
    </row>
    <row r="60" ht="15.75" customHeight="1">
      <c r="A60" s="47">
        <v>1.0</v>
      </c>
      <c r="B60" s="48" t="s">
        <v>119</v>
      </c>
      <c r="C60" s="49" t="s">
        <v>120</v>
      </c>
      <c r="D60" s="18"/>
      <c r="E60" s="18"/>
      <c r="F60" s="19"/>
      <c r="G60" s="26" t="s">
        <v>111</v>
      </c>
      <c r="H60" s="18"/>
      <c r="I60" s="18"/>
      <c r="J60" s="19"/>
      <c r="K60" s="27"/>
      <c r="L60" s="18"/>
      <c r="M60" s="18"/>
      <c r="N60" s="19"/>
      <c r="O60" s="49" t="s">
        <v>83</v>
      </c>
      <c r="P60" s="18"/>
      <c r="Q60" s="19"/>
      <c r="R60" s="49" t="s">
        <v>84</v>
      </c>
      <c r="S60" s="19"/>
      <c r="T60" s="27"/>
      <c r="U60" s="19"/>
      <c r="V60" s="27"/>
      <c r="W60" s="19"/>
      <c r="X60" s="49" t="s">
        <v>121</v>
      </c>
      <c r="Y60" s="19"/>
    </row>
    <row r="61" ht="15.75" customHeight="1">
      <c r="A61" s="47">
        <v>2.0</v>
      </c>
      <c r="B61" s="48" t="s">
        <v>109</v>
      </c>
      <c r="C61" s="49" t="s">
        <v>122</v>
      </c>
      <c r="D61" s="18"/>
      <c r="E61" s="18"/>
      <c r="F61" s="19"/>
      <c r="G61" s="26" t="s">
        <v>123</v>
      </c>
      <c r="H61" s="18"/>
      <c r="I61" s="18"/>
      <c r="J61" s="19"/>
      <c r="K61" s="27"/>
      <c r="L61" s="18"/>
      <c r="M61" s="18"/>
      <c r="N61" s="19"/>
      <c r="O61" s="49" t="s">
        <v>83</v>
      </c>
      <c r="P61" s="18"/>
      <c r="Q61" s="19"/>
      <c r="R61" s="27"/>
      <c r="S61" s="19"/>
      <c r="T61" s="49" t="s">
        <v>84</v>
      </c>
      <c r="U61" s="19"/>
      <c r="V61" s="27"/>
      <c r="W61" s="19"/>
      <c r="X61" s="49" t="s">
        <v>124</v>
      </c>
      <c r="Y61" s="19"/>
    </row>
    <row r="62" ht="15.75" customHeight="1">
      <c r="A62" s="47">
        <v>3.0</v>
      </c>
      <c r="B62" s="48" t="s">
        <v>125</v>
      </c>
      <c r="C62" s="49" t="s">
        <v>126</v>
      </c>
      <c r="D62" s="18"/>
      <c r="E62" s="18"/>
      <c r="F62" s="19"/>
      <c r="G62" s="49" t="s">
        <v>91</v>
      </c>
      <c r="H62" s="18"/>
      <c r="I62" s="18"/>
      <c r="J62" s="19"/>
      <c r="K62" s="49">
        <v>100.0</v>
      </c>
      <c r="L62" s="18"/>
      <c r="M62" s="18"/>
      <c r="N62" s="19"/>
      <c r="O62" s="49" t="s">
        <v>83</v>
      </c>
      <c r="P62" s="18"/>
      <c r="Q62" s="19"/>
      <c r="R62" s="27"/>
      <c r="S62" s="19"/>
      <c r="T62" s="27"/>
      <c r="U62" s="19"/>
      <c r="V62" s="27"/>
      <c r="W62" s="19"/>
      <c r="X62" s="49" t="s">
        <v>127</v>
      </c>
      <c r="Y62" s="19"/>
    </row>
    <row r="63" ht="15.75" customHeight="1">
      <c r="A63" s="47">
        <v>4.0</v>
      </c>
      <c r="B63" s="48" t="s">
        <v>128</v>
      </c>
      <c r="C63" s="49" t="s">
        <v>129</v>
      </c>
      <c r="D63" s="18"/>
      <c r="E63" s="18"/>
      <c r="F63" s="19"/>
      <c r="G63" s="49" t="s">
        <v>91</v>
      </c>
      <c r="H63" s="18"/>
      <c r="I63" s="18"/>
      <c r="J63" s="19"/>
      <c r="K63" s="49">
        <v>100.0</v>
      </c>
      <c r="L63" s="18"/>
      <c r="M63" s="18"/>
      <c r="N63" s="19"/>
      <c r="O63" s="49" t="s">
        <v>83</v>
      </c>
      <c r="P63" s="18"/>
      <c r="Q63" s="19"/>
      <c r="R63" s="27"/>
      <c r="S63" s="19"/>
      <c r="T63" s="27"/>
      <c r="U63" s="19"/>
      <c r="V63" s="27"/>
      <c r="W63" s="19"/>
      <c r="X63" s="49" t="s">
        <v>130</v>
      </c>
      <c r="Y63" s="19"/>
    </row>
    <row r="64" ht="15.75" customHeight="1">
      <c r="A64" s="47">
        <v>5.0</v>
      </c>
      <c r="B64" s="48" t="s">
        <v>131</v>
      </c>
      <c r="C64" s="49" t="s">
        <v>132</v>
      </c>
      <c r="D64" s="18"/>
      <c r="E64" s="18"/>
      <c r="F64" s="19"/>
      <c r="G64" s="39" t="s">
        <v>133</v>
      </c>
      <c r="H64" s="18"/>
      <c r="I64" s="18"/>
      <c r="J64" s="19"/>
      <c r="K64" s="27"/>
      <c r="L64" s="18"/>
      <c r="M64" s="18"/>
      <c r="N64" s="19"/>
      <c r="O64" s="49" t="s">
        <v>117</v>
      </c>
      <c r="P64" s="18"/>
      <c r="Q64" s="19"/>
      <c r="R64" s="27"/>
      <c r="S64" s="19"/>
      <c r="T64" s="27"/>
      <c r="U64" s="19"/>
      <c r="V64" s="27"/>
      <c r="W64" s="19"/>
      <c r="X64" s="49" t="s">
        <v>134</v>
      </c>
      <c r="Y64" s="19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5.75" customHeight="1">
      <c r="A66" s="41">
        <v>5.0</v>
      </c>
      <c r="B66" s="42" t="s">
        <v>2</v>
      </c>
      <c r="C66" s="43" t="s">
        <v>13</v>
      </c>
      <c r="D66" s="18"/>
      <c r="E66" s="18"/>
      <c r="F66" s="19"/>
      <c r="G66" s="42" t="s">
        <v>3</v>
      </c>
      <c r="H66" s="18"/>
      <c r="I66" s="18"/>
      <c r="J66" s="19"/>
      <c r="K66" s="39" t="s">
        <v>135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9"/>
      <c r="X66" s="44" t="s">
        <v>70</v>
      </c>
      <c r="Y66" s="45">
        <v>1.0</v>
      </c>
    </row>
    <row r="67" ht="15.75" customHeight="1">
      <c r="A67" s="46" t="s">
        <v>1</v>
      </c>
      <c r="B67" s="44" t="s">
        <v>71</v>
      </c>
      <c r="C67" s="42" t="s">
        <v>72</v>
      </c>
      <c r="D67" s="18"/>
      <c r="E67" s="18"/>
      <c r="F67" s="19"/>
      <c r="G67" s="42" t="s">
        <v>73</v>
      </c>
      <c r="H67" s="18"/>
      <c r="I67" s="18"/>
      <c r="J67" s="19"/>
      <c r="K67" s="42" t="s">
        <v>74</v>
      </c>
      <c r="L67" s="18"/>
      <c r="M67" s="18"/>
      <c r="N67" s="19"/>
      <c r="O67" s="42" t="s">
        <v>75</v>
      </c>
      <c r="P67" s="18"/>
      <c r="Q67" s="19"/>
      <c r="R67" s="42" t="s">
        <v>76</v>
      </c>
      <c r="S67" s="19"/>
      <c r="T67" s="42" t="s">
        <v>77</v>
      </c>
      <c r="U67" s="19"/>
      <c r="V67" s="42" t="s">
        <v>78</v>
      </c>
      <c r="W67" s="19"/>
      <c r="X67" s="42" t="s">
        <v>79</v>
      </c>
      <c r="Y67" s="19"/>
    </row>
    <row r="68" ht="15.75" customHeight="1">
      <c r="A68" s="47">
        <v>1.0</v>
      </c>
      <c r="B68" s="48" t="s">
        <v>136</v>
      </c>
      <c r="C68" s="49" t="s">
        <v>137</v>
      </c>
      <c r="D68" s="18"/>
      <c r="E68" s="18"/>
      <c r="F68" s="19"/>
      <c r="G68" s="49" t="s">
        <v>111</v>
      </c>
      <c r="H68" s="18"/>
      <c r="I68" s="18"/>
      <c r="J68" s="19"/>
      <c r="K68" s="27"/>
      <c r="L68" s="18"/>
      <c r="M68" s="18"/>
      <c r="N68" s="19"/>
      <c r="O68" s="49" t="s">
        <v>83</v>
      </c>
      <c r="P68" s="18"/>
      <c r="Q68" s="19"/>
      <c r="R68" s="49" t="s">
        <v>84</v>
      </c>
      <c r="S68" s="19"/>
      <c r="T68" s="27"/>
      <c r="U68" s="19"/>
      <c r="V68" s="27"/>
      <c r="W68" s="19"/>
      <c r="X68" s="27"/>
      <c r="Y68" s="19"/>
    </row>
    <row r="69" ht="15.75" customHeight="1">
      <c r="A69" s="47">
        <v>2.0</v>
      </c>
      <c r="B69" s="48" t="s">
        <v>109</v>
      </c>
      <c r="C69" s="49" t="s">
        <v>138</v>
      </c>
      <c r="D69" s="18"/>
      <c r="E69" s="18"/>
      <c r="F69" s="19"/>
      <c r="G69" s="14" t="s">
        <v>139</v>
      </c>
      <c r="H69" s="50"/>
      <c r="I69" s="50"/>
      <c r="J69" s="34"/>
      <c r="K69" s="27"/>
      <c r="L69" s="18"/>
      <c r="M69" s="18"/>
      <c r="N69" s="19"/>
      <c r="O69" s="49" t="s">
        <v>83</v>
      </c>
      <c r="P69" s="18"/>
      <c r="Q69" s="19"/>
      <c r="R69" s="27"/>
      <c r="S69" s="19"/>
      <c r="T69" s="49" t="s">
        <v>84</v>
      </c>
      <c r="U69" s="19"/>
      <c r="V69" s="27"/>
      <c r="W69" s="19"/>
      <c r="X69" s="27"/>
      <c r="Y69" s="19"/>
    </row>
    <row r="70" ht="15.75" customHeight="1">
      <c r="A70" s="47">
        <v>3.0</v>
      </c>
      <c r="B70" s="48" t="s">
        <v>140</v>
      </c>
      <c r="C70" s="49" t="s">
        <v>141</v>
      </c>
      <c r="D70" s="18"/>
      <c r="E70" s="18"/>
      <c r="F70" s="19"/>
      <c r="G70" s="49" t="s">
        <v>91</v>
      </c>
      <c r="H70" s="18"/>
      <c r="I70" s="18"/>
      <c r="J70" s="19"/>
      <c r="K70" s="49">
        <v>100.0</v>
      </c>
      <c r="L70" s="18"/>
      <c r="M70" s="18"/>
      <c r="N70" s="19"/>
      <c r="O70" s="49" t="s">
        <v>83</v>
      </c>
      <c r="P70" s="18"/>
      <c r="Q70" s="19"/>
      <c r="R70" s="27"/>
      <c r="S70" s="19"/>
      <c r="T70" s="27"/>
      <c r="U70" s="19"/>
      <c r="V70" s="27"/>
      <c r="W70" s="19"/>
      <c r="X70" s="27"/>
      <c r="Y70" s="19"/>
    </row>
    <row r="71" ht="15.75" customHeight="1">
      <c r="A71" s="47">
        <v>4.0</v>
      </c>
      <c r="B71" s="48" t="s">
        <v>142</v>
      </c>
      <c r="C71" s="14" t="s">
        <v>143</v>
      </c>
      <c r="G71" s="49" t="s">
        <v>91</v>
      </c>
      <c r="H71" s="18"/>
      <c r="I71" s="18"/>
      <c r="J71" s="19"/>
      <c r="K71" s="27"/>
      <c r="L71" s="18"/>
      <c r="M71" s="18"/>
      <c r="N71" s="19"/>
      <c r="O71" s="49" t="s">
        <v>83</v>
      </c>
      <c r="P71" s="18"/>
      <c r="Q71" s="19"/>
      <c r="R71" s="27"/>
      <c r="S71" s="19"/>
      <c r="T71" s="27"/>
      <c r="U71" s="19"/>
      <c r="V71" s="27"/>
      <c r="W71" s="19"/>
      <c r="X71" s="27"/>
      <c r="Y71" s="19"/>
    </row>
    <row r="72" ht="15.75" customHeight="1">
      <c r="A72" s="47">
        <v>5.0</v>
      </c>
      <c r="B72" s="48" t="s">
        <v>144</v>
      </c>
      <c r="C72" s="49" t="s">
        <v>145</v>
      </c>
      <c r="D72" s="18"/>
      <c r="E72" s="18"/>
      <c r="F72" s="19"/>
      <c r="G72" s="51" t="s">
        <v>91</v>
      </c>
      <c r="H72" s="50"/>
      <c r="I72" s="50"/>
      <c r="J72" s="34"/>
      <c r="K72" s="27"/>
      <c r="L72" s="18"/>
      <c r="M72" s="18"/>
      <c r="N72" s="19"/>
      <c r="O72" s="49" t="s">
        <v>117</v>
      </c>
      <c r="P72" s="18"/>
      <c r="Q72" s="19"/>
      <c r="R72" s="27"/>
      <c r="S72" s="19"/>
      <c r="T72" s="27"/>
      <c r="U72" s="19"/>
      <c r="V72" s="27"/>
      <c r="W72" s="19"/>
      <c r="X72" s="27"/>
      <c r="Y72" s="19"/>
    </row>
    <row r="73" ht="15.75" customHeight="1">
      <c r="A73" s="52"/>
      <c r="B73" s="48" t="s">
        <v>146</v>
      </c>
      <c r="C73" s="49" t="s">
        <v>147</v>
      </c>
      <c r="D73" s="18"/>
      <c r="E73" s="18"/>
      <c r="F73" s="19"/>
      <c r="G73" s="53" t="s">
        <v>148</v>
      </c>
      <c r="H73" s="18"/>
      <c r="I73" s="18"/>
      <c r="J73" s="19"/>
      <c r="K73" s="27"/>
      <c r="L73" s="18"/>
      <c r="M73" s="18"/>
      <c r="N73" s="19"/>
      <c r="O73" s="49" t="s">
        <v>117</v>
      </c>
      <c r="P73" s="18"/>
      <c r="Q73" s="19"/>
      <c r="R73" s="27"/>
      <c r="S73" s="19"/>
      <c r="T73" s="27"/>
      <c r="U73" s="19"/>
      <c r="V73" s="27"/>
      <c r="W73" s="19"/>
      <c r="X73" s="27"/>
      <c r="Y73" s="19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15.75" customHeight="1">
      <c r="A75" s="41">
        <v>6.0</v>
      </c>
      <c r="B75" s="42" t="s">
        <v>2</v>
      </c>
      <c r="C75" s="43" t="s">
        <v>15</v>
      </c>
      <c r="D75" s="18"/>
      <c r="E75" s="18"/>
      <c r="F75" s="19"/>
      <c r="G75" s="42" t="s">
        <v>3</v>
      </c>
      <c r="H75" s="18"/>
      <c r="I75" s="18"/>
      <c r="J75" s="19"/>
      <c r="K75" s="39" t="s">
        <v>16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9"/>
      <c r="X75" s="44" t="s">
        <v>70</v>
      </c>
      <c r="Y75" s="45">
        <v>1.0</v>
      </c>
    </row>
    <row r="76" ht="15.75" customHeight="1">
      <c r="A76" s="46" t="s">
        <v>1</v>
      </c>
      <c r="B76" s="44" t="s">
        <v>71</v>
      </c>
      <c r="C76" s="42" t="s">
        <v>72</v>
      </c>
      <c r="D76" s="18"/>
      <c r="E76" s="18"/>
      <c r="F76" s="19"/>
      <c r="G76" s="42" t="s">
        <v>73</v>
      </c>
      <c r="H76" s="18"/>
      <c r="I76" s="18"/>
      <c r="J76" s="19"/>
      <c r="K76" s="42" t="s">
        <v>74</v>
      </c>
      <c r="L76" s="18"/>
      <c r="M76" s="18"/>
      <c r="N76" s="19"/>
      <c r="O76" s="42" t="s">
        <v>75</v>
      </c>
      <c r="P76" s="18"/>
      <c r="Q76" s="19"/>
      <c r="R76" s="42" t="s">
        <v>76</v>
      </c>
      <c r="S76" s="19"/>
      <c r="T76" s="42" t="s">
        <v>77</v>
      </c>
      <c r="U76" s="19"/>
      <c r="V76" s="42" t="s">
        <v>78</v>
      </c>
      <c r="W76" s="19"/>
      <c r="X76" s="42" t="s">
        <v>79</v>
      </c>
      <c r="Y76" s="19"/>
    </row>
    <row r="77" ht="15.75" customHeight="1">
      <c r="A77" s="47">
        <v>1.0</v>
      </c>
      <c r="B77" s="48" t="s">
        <v>149</v>
      </c>
      <c r="C77" s="49" t="s">
        <v>150</v>
      </c>
      <c r="D77" s="18"/>
      <c r="E77" s="18"/>
      <c r="F77" s="19"/>
      <c r="G77" s="49" t="s">
        <v>111</v>
      </c>
      <c r="H77" s="18"/>
      <c r="I77" s="18"/>
      <c r="J77" s="19"/>
      <c r="K77" s="27"/>
      <c r="L77" s="18"/>
      <c r="M77" s="18"/>
      <c r="N77" s="19"/>
      <c r="O77" s="49" t="s">
        <v>83</v>
      </c>
      <c r="P77" s="18"/>
      <c r="Q77" s="19"/>
      <c r="R77" s="49" t="s">
        <v>84</v>
      </c>
      <c r="S77" s="19"/>
      <c r="T77" s="27"/>
      <c r="U77" s="19"/>
      <c r="V77" s="27"/>
      <c r="W77" s="19"/>
      <c r="X77" s="49" t="s">
        <v>121</v>
      </c>
      <c r="Y77" s="19"/>
    </row>
    <row r="78" ht="15.75" customHeight="1">
      <c r="A78" s="47">
        <v>2.0</v>
      </c>
      <c r="B78" s="48" t="s">
        <v>109</v>
      </c>
      <c r="C78" s="49" t="s">
        <v>151</v>
      </c>
      <c r="D78" s="18"/>
      <c r="E78" s="18"/>
      <c r="F78" s="19"/>
      <c r="G78" s="49" t="s">
        <v>139</v>
      </c>
      <c r="H78" s="18"/>
      <c r="I78" s="18"/>
      <c r="J78" s="19"/>
      <c r="K78" s="27"/>
      <c r="L78" s="18"/>
      <c r="M78" s="18"/>
      <c r="N78" s="19"/>
      <c r="O78" s="49" t="s">
        <v>83</v>
      </c>
      <c r="P78" s="18"/>
      <c r="Q78" s="19"/>
      <c r="R78" s="27"/>
      <c r="S78" s="19"/>
      <c r="T78" s="49" t="s">
        <v>84</v>
      </c>
      <c r="U78" s="19"/>
      <c r="V78" s="27"/>
      <c r="W78" s="19"/>
      <c r="X78" s="49" t="s">
        <v>152</v>
      </c>
      <c r="Y78" s="19"/>
    </row>
    <row r="79" ht="15.75" customHeight="1">
      <c r="A79" s="47">
        <v>3.0</v>
      </c>
      <c r="B79" s="48" t="s">
        <v>153</v>
      </c>
      <c r="C79" s="49" t="s">
        <v>154</v>
      </c>
      <c r="D79" s="18"/>
      <c r="E79" s="18"/>
      <c r="F79" s="19"/>
      <c r="G79" s="49" t="s">
        <v>91</v>
      </c>
      <c r="H79" s="18"/>
      <c r="I79" s="18"/>
      <c r="J79" s="19"/>
      <c r="K79" s="49">
        <v>50.0</v>
      </c>
      <c r="L79" s="18"/>
      <c r="M79" s="18"/>
      <c r="N79" s="19"/>
      <c r="O79" s="49" t="s">
        <v>83</v>
      </c>
      <c r="P79" s="18"/>
      <c r="Q79" s="19"/>
      <c r="R79" s="27"/>
      <c r="S79" s="19"/>
      <c r="T79" s="27"/>
      <c r="U79" s="19"/>
      <c r="V79" s="27"/>
      <c r="W79" s="19"/>
      <c r="X79" s="49" t="s">
        <v>155</v>
      </c>
      <c r="Y79" s="19"/>
    </row>
    <row r="80" ht="15.75" customHeight="1">
      <c r="A80" s="47">
        <v>4.0</v>
      </c>
      <c r="B80" s="48" t="s">
        <v>156</v>
      </c>
      <c r="C80" s="49" t="s">
        <v>157</v>
      </c>
      <c r="D80" s="50"/>
      <c r="E80" s="50"/>
      <c r="F80" s="34"/>
      <c r="G80" s="53" t="s">
        <v>91</v>
      </c>
      <c r="H80" s="18"/>
      <c r="I80" s="18"/>
      <c r="J80" s="19"/>
      <c r="K80" s="31">
        <v>20.0</v>
      </c>
      <c r="L80" s="18"/>
      <c r="M80" s="18"/>
      <c r="N80" s="19"/>
      <c r="O80" s="49" t="s">
        <v>83</v>
      </c>
      <c r="P80" s="18"/>
      <c r="Q80" s="19"/>
      <c r="R80" s="27"/>
      <c r="S80" s="19"/>
      <c r="T80" s="27"/>
      <c r="U80" s="19"/>
      <c r="V80" s="27"/>
      <c r="W80" s="19"/>
      <c r="X80" s="49" t="s">
        <v>158</v>
      </c>
      <c r="Y80" s="19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15.75" customHeight="1">
      <c r="A82" s="54">
        <v>7.0</v>
      </c>
      <c r="B82" s="55" t="s">
        <v>2</v>
      </c>
      <c r="C82" s="56" t="s">
        <v>17</v>
      </c>
      <c r="D82" s="18"/>
      <c r="E82" s="18"/>
      <c r="F82" s="19"/>
      <c r="G82" s="55" t="s">
        <v>3</v>
      </c>
      <c r="H82" s="18"/>
      <c r="I82" s="18"/>
      <c r="J82" s="19"/>
      <c r="K82" s="39" t="s">
        <v>18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9"/>
      <c r="X82" s="57" t="s">
        <v>70</v>
      </c>
      <c r="Y82" s="58">
        <v>1.0</v>
      </c>
    </row>
    <row r="83" ht="15.75" customHeight="1">
      <c r="A83" s="59" t="s">
        <v>1</v>
      </c>
      <c r="B83" s="57" t="s">
        <v>71</v>
      </c>
      <c r="C83" s="55" t="s">
        <v>72</v>
      </c>
      <c r="D83" s="18"/>
      <c r="E83" s="18"/>
      <c r="F83" s="19"/>
      <c r="G83" s="55" t="s">
        <v>73</v>
      </c>
      <c r="H83" s="18"/>
      <c r="I83" s="18"/>
      <c r="J83" s="19"/>
      <c r="K83" s="55" t="s">
        <v>74</v>
      </c>
      <c r="L83" s="18"/>
      <c r="M83" s="18"/>
      <c r="N83" s="19"/>
      <c r="O83" s="55" t="s">
        <v>75</v>
      </c>
      <c r="P83" s="18"/>
      <c r="Q83" s="19"/>
      <c r="R83" s="55" t="s">
        <v>76</v>
      </c>
      <c r="S83" s="19"/>
      <c r="T83" s="55" t="s">
        <v>77</v>
      </c>
      <c r="U83" s="19"/>
      <c r="V83" s="55" t="s">
        <v>78</v>
      </c>
      <c r="W83" s="19"/>
      <c r="X83" s="55" t="s">
        <v>79</v>
      </c>
      <c r="Y83" s="19"/>
    </row>
    <row r="84" ht="15.75" customHeight="1">
      <c r="A84" s="60">
        <v>1.0</v>
      </c>
      <c r="B84" s="61" t="s">
        <v>159</v>
      </c>
      <c r="C84" s="56" t="s">
        <v>160</v>
      </c>
      <c r="D84" s="18"/>
      <c r="E84" s="18"/>
      <c r="F84" s="19"/>
      <c r="G84" s="56" t="s">
        <v>111</v>
      </c>
      <c r="H84" s="18"/>
      <c r="I84" s="18"/>
      <c r="J84" s="19"/>
      <c r="K84" s="56"/>
      <c r="L84" s="18"/>
      <c r="M84" s="18"/>
      <c r="N84" s="19"/>
      <c r="O84" s="49" t="s">
        <v>83</v>
      </c>
      <c r="P84" s="18"/>
      <c r="Q84" s="19"/>
      <c r="R84" s="56" t="s">
        <v>84</v>
      </c>
      <c r="S84" s="19"/>
      <c r="T84" s="56"/>
      <c r="U84" s="19"/>
      <c r="V84" s="56"/>
      <c r="W84" s="19"/>
      <c r="X84" s="56" t="s">
        <v>112</v>
      </c>
      <c r="Y84" s="19"/>
    </row>
    <row r="85" ht="15.75" customHeight="1">
      <c r="A85" s="62">
        <v>2.0</v>
      </c>
      <c r="B85" s="63" t="s">
        <v>86</v>
      </c>
      <c r="C85" s="64" t="s">
        <v>100</v>
      </c>
      <c r="D85" s="18"/>
      <c r="E85" s="18"/>
      <c r="F85" s="19"/>
      <c r="G85" s="65" t="s">
        <v>82</v>
      </c>
      <c r="H85" s="18"/>
      <c r="I85" s="18"/>
      <c r="J85" s="19"/>
      <c r="K85" s="56"/>
      <c r="L85" s="18"/>
      <c r="M85" s="18"/>
      <c r="N85" s="19"/>
      <c r="O85" s="53" t="s">
        <v>83</v>
      </c>
      <c r="P85" s="18"/>
      <c r="Q85" s="19"/>
      <c r="R85" s="56"/>
      <c r="S85" s="19"/>
      <c r="T85" s="56" t="s">
        <v>84</v>
      </c>
      <c r="U85" s="19"/>
      <c r="V85" s="56"/>
      <c r="W85" s="19"/>
      <c r="X85" s="56" t="s">
        <v>161</v>
      </c>
      <c r="Y85" s="19"/>
    </row>
    <row r="86" ht="15.75" customHeight="1">
      <c r="A86" s="62">
        <v>3.0</v>
      </c>
      <c r="B86" s="61" t="s">
        <v>162</v>
      </c>
      <c r="C86" s="56" t="s">
        <v>163</v>
      </c>
      <c r="D86" s="18"/>
      <c r="E86" s="18"/>
      <c r="F86" s="19"/>
      <c r="G86" s="56" t="s">
        <v>91</v>
      </c>
      <c r="H86" s="18"/>
      <c r="I86" s="18"/>
      <c r="J86" s="19"/>
      <c r="K86" s="56">
        <v>50.0</v>
      </c>
      <c r="L86" s="18"/>
      <c r="M86" s="18"/>
      <c r="N86" s="19"/>
      <c r="O86" s="49" t="s">
        <v>83</v>
      </c>
      <c r="P86" s="18"/>
      <c r="Q86" s="19"/>
      <c r="R86" s="56"/>
      <c r="S86" s="19"/>
      <c r="T86" s="56"/>
      <c r="U86" s="19"/>
      <c r="V86" s="56"/>
      <c r="W86" s="19"/>
      <c r="X86" s="56" t="s">
        <v>164</v>
      </c>
      <c r="Y86" s="19"/>
    </row>
    <row r="87" ht="15.75" customHeight="1">
      <c r="A87" s="62">
        <v>4.0</v>
      </c>
      <c r="B87" s="61" t="s">
        <v>165</v>
      </c>
      <c r="C87" s="56" t="s">
        <v>166</v>
      </c>
      <c r="D87" s="18"/>
      <c r="E87" s="18"/>
      <c r="F87" s="19"/>
      <c r="G87" s="56" t="s">
        <v>91</v>
      </c>
      <c r="H87" s="18"/>
      <c r="I87" s="18"/>
      <c r="J87" s="19"/>
      <c r="K87" s="56">
        <v>50.0</v>
      </c>
      <c r="L87" s="18"/>
      <c r="M87" s="18"/>
      <c r="N87" s="19"/>
      <c r="O87" s="56" t="s">
        <v>117</v>
      </c>
      <c r="P87" s="18"/>
      <c r="Q87" s="19"/>
      <c r="R87" s="56"/>
      <c r="S87" s="19"/>
      <c r="T87" s="56"/>
      <c r="U87" s="19"/>
      <c r="V87" s="56"/>
      <c r="W87" s="19"/>
      <c r="X87" s="56" t="s">
        <v>167</v>
      </c>
      <c r="Y87" s="19"/>
    </row>
    <row r="88" ht="15.75" customHeight="1">
      <c r="A88" s="62">
        <v>5.0</v>
      </c>
      <c r="B88" s="61" t="s">
        <v>168</v>
      </c>
      <c r="C88" s="56" t="s">
        <v>169</v>
      </c>
      <c r="D88" s="18"/>
      <c r="E88" s="18"/>
      <c r="F88" s="19"/>
      <c r="G88" s="56" t="s">
        <v>91</v>
      </c>
      <c r="H88" s="18"/>
      <c r="I88" s="18"/>
      <c r="J88" s="19"/>
      <c r="K88" s="56">
        <v>50.0</v>
      </c>
      <c r="L88" s="18"/>
      <c r="M88" s="18"/>
      <c r="N88" s="19"/>
      <c r="O88" s="49" t="s">
        <v>83</v>
      </c>
      <c r="P88" s="18"/>
      <c r="Q88" s="19"/>
      <c r="R88" s="56"/>
      <c r="S88" s="19"/>
      <c r="T88" s="56"/>
      <c r="U88" s="19"/>
      <c r="V88" s="56"/>
      <c r="W88" s="19"/>
      <c r="X88" s="56" t="s">
        <v>164</v>
      </c>
      <c r="Y88" s="19"/>
    </row>
    <row r="89" ht="15.75" customHeight="1">
      <c r="A89" s="62">
        <v>6.0</v>
      </c>
      <c r="B89" s="61" t="s">
        <v>170</v>
      </c>
      <c r="C89" s="56" t="s">
        <v>171</v>
      </c>
      <c r="D89" s="18"/>
      <c r="E89" s="18"/>
      <c r="F89" s="19"/>
      <c r="G89" s="56" t="s">
        <v>91</v>
      </c>
      <c r="H89" s="18"/>
      <c r="I89" s="18"/>
      <c r="J89" s="19"/>
      <c r="K89" s="56">
        <v>50.0</v>
      </c>
      <c r="L89" s="18"/>
      <c r="M89" s="18"/>
      <c r="N89" s="19"/>
      <c r="O89" s="56" t="s">
        <v>117</v>
      </c>
      <c r="P89" s="18"/>
      <c r="Q89" s="19"/>
      <c r="R89" s="56"/>
      <c r="S89" s="19"/>
      <c r="T89" s="56"/>
      <c r="U89" s="19"/>
      <c r="V89" s="56"/>
      <c r="W89" s="19"/>
      <c r="X89" s="56" t="s">
        <v>167</v>
      </c>
      <c r="Y89" s="19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ht="15.75" customHeight="1">
      <c r="A91" s="54">
        <v>8.0</v>
      </c>
      <c r="B91" s="55" t="s">
        <v>2</v>
      </c>
      <c r="C91" s="56" t="s">
        <v>19</v>
      </c>
      <c r="D91" s="18"/>
      <c r="E91" s="18"/>
      <c r="F91" s="19"/>
      <c r="G91" s="55" t="s">
        <v>3</v>
      </c>
      <c r="H91" s="18"/>
      <c r="I91" s="18"/>
      <c r="J91" s="19"/>
      <c r="K91" s="39" t="s">
        <v>20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9"/>
      <c r="X91" s="57" t="s">
        <v>70</v>
      </c>
      <c r="Y91" s="58">
        <v>1.0</v>
      </c>
    </row>
    <row r="92" ht="15.75" customHeight="1">
      <c r="A92" s="59" t="s">
        <v>1</v>
      </c>
      <c r="B92" s="57" t="s">
        <v>71</v>
      </c>
      <c r="C92" s="55" t="s">
        <v>72</v>
      </c>
      <c r="D92" s="18"/>
      <c r="E92" s="18"/>
      <c r="F92" s="19"/>
      <c r="G92" s="55" t="s">
        <v>73</v>
      </c>
      <c r="H92" s="18"/>
      <c r="I92" s="18"/>
      <c r="J92" s="19"/>
      <c r="K92" s="55" t="s">
        <v>74</v>
      </c>
      <c r="L92" s="18"/>
      <c r="M92" s="18"/>
      <c r="N92" s="19"/>
      <c r="O92" s="55" t="s">
        <v>75</v>
      </c>
      <c r="P92" s="18"/>
      <c r="Q92" s="19"/>
      <c r="R92" s="55" t="s">
        <v>76</v>
      </c>
      <c r="S92" s="19"/>
      <c r="T92" s="55" t="s">
        <v>77</v>
      </c>
      <c r="U92" s="19"/>
      <c r="V92" s="55" t="s">
        <v>78</v>
      </c>
      <c r="W92" s="19"/>
      <c r="X92" s="55" t="s">
        <v>79</v>
      </c>
      <c r="Y92" s="19"/>
    </row>
    <row r="93" ht="15.75" customHeight="1">
      <c r="A93" s="60">
        <v>1.0</v>
      </c>
      <c r="B93" s="61" t="s">
        <v>86</v>
      </c>
      <c r="C93" s="56" t="s">
        <v>172</v>
      </c>
      <c r="D93" s="18"/>
      <c r="E93" s="18"/>
      <c r="F93" s="19"/>
      <c r="G93" s="65" t="s">
        <v>82</v>
      </c>
      <c r="H93" s="18"/>
      <c r="I93" s="18"/>
      <c r="J93" s="19"/>
      <c r="K93" s="56"/>
      <c r="L93" s="18"/>
      <c r="M93" s="18"/>
      <c r="N93" s="19"/>
      <c r="O93" s="56" t="s">
        <v>83</v>
      </c>
      <c r="P93" s="18"/>
      <c r="Q93" s="19"/>
      <c r="R93" s="56" t="s">
        <v>84</v>
      </c>
      <c r="S93" s="19"/>
      <c r="T93" s="56" t="s">
        <v>84</v>
      </c>
      <c r="U93" s="19"/>
      <c r="V93" s="56"/>
      <c r="W93" s="19"/>
      <c r="X93" s="56" t="s">
        <v>173</v>
      </c>
      <c r="Y93" s="66"/>
    </row>
    <row r="94" ht="15.75" customHeight="1">
      <c r="A94" s="60">
        <v>2.0</v>
      </c>
      <c r="B94" s="61" t="s">
        <v>174</v>
      </c>
      <c r="C94" s="56" t="s">
        <v>175</v>
      </c>
      <c r="D94" s="18"/>
      <c r="E94" s="18"/>
      <c r="F94" s="19"/>
      <c r="G94" s="56" t="s">
        <v>139</v>
      </c>
      <c r="H94" s="18"/>
      <c r="I94" s="18"/>
      <c r="J94" s="19"/>
      <c r="K94" s="56"/>
      <c r="L94" s="18"/>
      <c r="M94" s="18"/>
      <c r="N94" s="19"/>
      <c r="O94" s="56" t="s">
        <v>176</v>
      </c>
      <c r="P94" s="18"/>
      <c r="Q94" s="19"/>
      <c r="R94" s="56" t="s">
        <v>84</v>
      </c>
      <c r="S94" s="19"/>
      <c r="T94" s="56" t="s">
        <v>84</v>
      </c>
      <c r="U94" s="19"/>
      <c r="V94" s="56"/>
      <c r="W94" s="19"/>
      <c r="X94" s="56" t="s">
        <v>173</v>
      </c>
      <c r="Y94" s="66"/>
    </row>
    <row r="95" ht="15.75" customHeight="1">
      <c r="A95" s="60">
        <v>3.0</v>
      </c>
      <c r="B95" s="61" t="s">
        <v>177</v>
      </c>
      <c r="C95" s="56" t="s">
        <v>178</v>
      </c>
      <c r="D95" s="18"/>
      <c r="E95" s="18"/>
      <c r="F95" s="19"/>
      <c r="G95" s="56" t="s">
        <v>133</v>
      </c>
      <c r="H95" s="18"/>
      <c r="I95" s="18"/>
      <c r="J95" s="19"/>
      <c r="K95" s="56"/>
      <c r="L95" s="18"/>
      <c r="M95" s="18"/>
      <c r="N95" s="19"/>
      <c r="O95" s="56" t="s">
        <v>176</v>
      </c>
      <c r="P95" s="18"/>
      <c r="Q95" s="19"/>
      <c r="R95" s="56"/>
      <c r="S95" s="19"/>
      <c r="T95" s="56"/>
      <c r="U95" s="19"/>
      <c r="V95" s="56"/>
      <c r="W95" s="19"/>
      <c r="X95" s="56" t="s">
        <v>179</v>
      </c>
      <c r="Y95" s="66"/>
    </row>
    <row r="96" ht="15.75" customHeight="1">
      <c r="A96" s="60">
        <v>4.0</v>
      </c>
      <c r="B96" s="61" t="s">
        <v>180</v>
      </c>
      <c r="C96" s="39" t="s">
        <v>181</v>
      </c>
      <c r="D96" s="18"/>
      <c r="E96" s="18"/>
      <c r="F96" s="19"/>
      <c r="G96" s="39" t="s">
        <v>182</v>
      </c>
      <c r="H96" s="18"/>
      <c r="I96" s="18"/>
      <c r="J96" s="19"/>
      <c r="K96" s="39"/>
      <c r="L96" s="18"/>
      <c r="M96" s="18"/>
      <c r="N96" s="19"/>
      <c r="O96" s="56" t="s">
        <v>117</v>
      </c>
      <c r="P96" s="18"/>
      <c r="Q96" s="19"/>
      <c r="R96" s="39"/>
      <c r="S96" s="19"/>
      <c r="T96" s="39"/>
      <c r="U96" s="19"/>
      <c r="V96" s="39"/>
      <c r="W96" s="19"/>
      <c r="X96" s="39" t="s">
        <v>183</v>
      </c>
      <c r="Y96" s="19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5.75" customHeight="1">
      <c r="A98" s="54">
        <v>9.0</v>
      </c>
      <c r="B98" s="55" t="s">
        <v>2</v>
      </c>
      <c r="C98" s="56" t="s">
        <v>21</v>
      </c>
      <c r="D98" s="18"/>
      <c r="E98" s="18"/>
      <c r="F98" s="19"/>
      <c r="G98" s="55" t="s">
        <v>3</v>
      </c>
      <c r="H98" s="18"/>
      <c r="I98" s="18"/>
      <c r="J98" s="19"/>
      <c r="K98" s="39" t="s">
        <v>22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9"/>
      <c r="X98" s="57" t="s">
        <v>70</v>
      </c>
      <c r="Y98" s="58">
        <v>1.0</v>
      </c>
    </row>
    <row r="99" ht="15.75" customHeight="1">
      <c r="A99" s="59" t="s">
        <v>1</v>
      </c>
      <c r="B99" s="57" t="s">
        <v>71</v>
      </c>
      <c r="C99" s="55" t="s">
        <v>72</v>
      </c>
      <c r="D99" s="18"/>
      <c r="E99" s="18"/>
      <c r="F99" s="19"/>
      <c r="G99" s="55" t="s">
        <v>73</v>
      </c>
      <c r="H99" s="18"/>
      <c r="I99" s="18"/>
      <c r="J99" s="19"/>
      <c r="K99" s="55" t="s">
        <v>74</v>
      </c>
      <c r="L99" s="18"/>
      <c r="M99" s="18"/>
      <c r="N99" s="19"/>
      <c r="O99" s="55" t="s">
        <v>75</v>
      </c>
      <c r="P99" s="18"/>
      <c r="Q99" s="19"/>
      <c r="R99" s="55" t="s">
        <v>76</v>
      </c>
      <c r="S99" s="19"/>
      <c r="T99" s="55" t="s">
        <v>77</v>
      </c>
      <c r="U99" s="19"/>
      <c r="V99" s="55" t="s">
        <v>78</v>
      </c>
      <c r="W99" s="19"/>
      <c r="X99" s="55" t="s">
        <v>79</v>
      </c>
      <c r="Y99" s="19"/>
    </row>
    <row r="100" ht="15.75" customHeight="1">
      <c r="A100" s="60">
        <v>1.0</v>
      </c>
      <c r="B100" s="61" t="s">
        <v>174</v>
      </c>
      <c r="C100" s="56" t="s">
        <v>184</v>
      </c>
      <c r="D100" s="18"/>
      <c r="E100" s="18"/>
      <c r="F100" s="19"/>
      <c r="G100" s="65" t="s">
        <v>111</v>
      </c>
      <c r="H100" s="18"/>
      <c r="I100" s="18"/>
      <c r="J100" s="19"/>
      <c r="K100" s="56"/>
      <c r="L100" s="18"/>
      <c r="M100" s="18"/>
      <c r="N100" s="19"/>
      <c r="O100" s="56" t="s">
        <v>83</v>
      </c>
      <c r="P100" s="18"/>
      <c r="Q100" s="19"/>
      <c r="R100" s="56" t="s">
        <v>84</v>
      </c>
      <c r="S100" s="19"/>
      <c r="T100" s="56"/>
      <c r="U100" s="19"/>
      <c r="V100" s="56"/>
      <c r="W100" s="19"/>
      <c r="X100" s="56" t="s">
        <v>185</v>
      </c>
      <c r="Y100" s="19"/>
    </row>
    <row r="101" ht="15.75" customHeight="1">
      <c r="A101" s="60">
        <v>2.0</v>
      </c>
      <c r="B101" s="61" t="s">
        <v>186</v>
      </c>
      <c r="C101" s="56" t="s">
        <v>187</v>
      </c>
      <c r="D101" s="18"/>
      <c r="E101" s="18"/>
      <c r="F101" s="19"/>
      <c r="G101" s="56" t="s">
        <v>91</v>
      </c>
      <c r="H101" s="18"/>
      <c r="I101" s="18"/>
      <c r="J101" s="19"/>
      <c r="K101" s="67">
        <v>100.0</v>
      </c>
      <c r="L101" s="18"/>
      <c r="M101" s="18"/>
      <c r="N101" s="19"/>
      <c r="O101" s="56" t="s">
        <v>83</v>
      </c>
      <c r="P101" s="18"/>
      <c r="Q101" s="19"/>
      <c r="R101" s="56"/>
      <c r="S101" s="19"/>
      <c r="T101" s="56"/>
      <c r="U101" s="19"/>
      <c r="V101" s="56" t="s">
        <v>84</v>
      </c>
      <c r="W101" s="19"/>
      <c r="X101" s="56" t="s">
        <v>188</v>
      </c>
      <c r="Y101" s="19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5.75" customHeight="1">
      <c r="A103" s="54">
        <v>10.0</v>
      </c>
      <c r="B103" s="55" t="s">
        <v>2</v>
      </c>
      <c r="C103" s="56" t="s">
        <v>23</v>
      </c>
      <c r="D103" s="18"/>
      <c r="E103" s="18"/>
      <c r="F103" s="19"/>
      <c r="G103" s="55" t="s">
        <v>3</v>
      </c>
      <c r="H103" s="18"/>
      <c r="I103" s="18"/>
      <c r="J103" s="19"/>
      <c r="K103" s="39" t="s">
        <v>24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9"/>
      <c r="X103" s="57" t="s">
        <v>70</v>
      </c>
      <c r="Y103" s="58">
        <v>1.0</v>
      </c>
    </row>
    <row r="104" ht="15.75" customHeight="1">
      <c r="A104" s="59" t="s">
        <v>1</v>
      </c>
      <c r="B104" s="57" t="s">
        <v>71</v>
      </c>
      <c r="C104" s="55" t="s">
        <v>72</v>
      </c>
      <c r="D104" s="18"/>
      <c r="E104" s="18"/>
      <c r="F104" s="19"/>
      <c r="G104" s="55" t="s">
        <v>73</v>
      </c>
      <c r="H104" s="18"/>
      <c r="I104" s="18"/>
      <c r="J104" s="19"/>
      <c r="K104" s="55" t="s">
        <v>74</v>
      </c>
      <c r="L104" s="18"/>
      <c r="M104" s="18"/>
      <c r="N104" s="19"/>
      <c r="O104" s="55" t="s">
        <v>75</v>
      </c>
      <c r="P104" s="18"/>
      <c r="Q104" s="19"/>
      <c r="R104" s="55" t="s">
        <v>76</v>
      </c>
      <c r="S104" s="19"/>
      <c r="T104" s="55" t="s">
        <v>77</v>
      </c>
      <c r="U104" s="19"/>
      <c r="V104" s="55" t="s">
        <v>78</v>
      </c>
      <c r="W104" s="19"/>
      <c r="X104" s="55" t="s">
        <v>79</v>
      </c>
      <c r="Y104" s="19"/>
    </row>
    <row r="105" ht="15.75" customHeight="1">
      <c r="A105" s="60">
        <v>1.0</v>
      </c>
      <c r="B105" s="61" t="s">
        <v>86</v>
      </c>
      <c r="C105" s="56" t="s">
        <v>189</v>
      </c>
      <c r="D105" s="18"/>
      <c r="E105" s="18"/>
      <c r="F105" s="19"/>
      <c r="G105" s="65" t="s">
        <v>82</v>
      </c>
      <c r="H105" s="18"/>
      <c r="I105" s="18"/>
      <c r="J105" s="19"/>
      <c r="K105" s="56"/>
      <c r="L105" s="18"/>
      <c r="M105" s="18"/>
      <c r="N105" s="19"/>
      <c r="O105" s="56" t="s">
        <v>83</v>
      </c>
      <c r="P105" s="18"/>
      <c r="Q105" s="19"/>
      <c r="R105" s="56" t="s">
        <v>84</v>
      </c>
      <c r="S105" s="19"/>
      <c r="T105" s="56" t="s">
        <v>84</v>
      </c>
      <c r="U105" s="19"/>
      <c r="V105" s="56"/>
      <c r="W105" s="19"/>
      <c r="X105" s="56" t="s">
        <v>173</v>
      </c>
      <c r="Y105" s="19"/>
    </row>
    <row r="106" ht="15.75" customHeight="1">
      <c r="A106" s="60">
        <v>2.0</v>
      </c>
      <c r="B106" s="61" t="s">
        <v>190</v>
      </c>
      <c r="C106" s="56" t="s">
        <v>191</v>
      </c>
      <c r="D106" s="18"/>
      <c r="E106" s="18"/>
      <c r="F106" s="19"/>
      <c r="G106" s="56" t="s">
        <v>139</v>
      </c>
      <c r="H106" s="18"/>
      <c r="I106" s="18"/>
      <c r="J106" s="19"/>
      <c r="K106" s="56"/>
      <c r="L106" s="18"/>
      <c r="M106" s="18"/>
      <c r="N106" s="19"/>
      <c r="O106" s="56" t="s">
        <v>83</v>
      </c>
      <c r="P106" s="18"/>
      <c r="Q106" s="19"/>
      <c r="R106" s="56" t="s">
        <v>84</v>
      </c>
      <c r="S106" s="19"/>
      <c r="T106" s="56" t="s">
        <v>84</v>
      </c>
      <c r="U106" s="19"/>
      <c r="V106" s="56"/>
      <c r="W106" s="19"/>
      <c r="X106" s="56" t="s">
        <v>192</v>
      </c>
      <c r="Y106" s="19"/>
    </row>
    <row r="107" ht="15.75" customHeight="1">
      <c r="A107" s="60">
        <v>3.0</v>
      </c>
      <c r="B107" s="61" t="s">
        <v>193</v>
      </c>
      <c r="C107" s="56" t="s">
        <v>194</v>
      </c>
      <c r="D107" s="18"/>
      <c r="E107" s="18"/>
      <c r="F107" s="19"/>
      <c r="G107" s="56" t="s">
        <v>133</v>
      </c>
      <c r="H107" s="18"/>
      <c r="I107" s="18"/>
      <c r="J107" s="19"/>
      <c r="K107" s="56"/>
      <c r="L107" s="18"/>
      <c r="M107" s="18"/>
      <c r="N107" s="19"/>
      <c r="O107" s="56" t="s">
        <v>83</v>
      </c>
      <c r="P107" s="18"/>
      <c r="Q107" s="19"/>
      <c r="R107" s="56"/>
      <c r="S107" s="19"/>
      <c r="T107" s="56"/>
      <c r="U107" s="19"/>
      <c r="V107" s="56"/>
      <c r="W107" s="19"/>
      <c r="X107" s="56" t="s">
        <v>195</v>
      </c>
      <c r="Y107" s="19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ht="15.75" customHeight="1">
      <c r="A109" s="54">
        <v>11.0</v>
      </c>
      <c r="B109" s="55" t="s">
        <v>2</v>
      </c>
      <c r="C109" s="56" t="s">
        <v>25</v>
      </c>
      <c r="D109" s="18"/>
      <c r="E109" s="18"/>
      <c r="F109" s="19"/>
      <c r="G109" s="55" t="s">
        <v>3</v>
      </c>
      <c r="H109" s="18"/>
      <c r="I109" s="18"/>
      <c r="J109" s="19"/>
      <c r="K109" s="39" t="s">
        <v>26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9"/>
      <c r="X109" s="57" t="s">
        <v>70</v>
      </c>
      <c r="Y109" s="58">
        <v>1.0</v>
      </c>
    </row>
    <row r="110" ht="15.75" customHeight="1">
      <c r="A110" s="59" t="s">
        <v>1</v>
      </c>
      <c r="B110" s="57" t="s">
        <v>71</v>
      </c>
      <c r="C110" s="55" t="s">
        <v>72</v>
      </c>
      <c r="D110" s="18"/>
      <c r="E110" s="18"/>
      <c r="F110" s="19"/>
      <c r="G110" s="55" t="s">
        <v>73</v>
      </c>
      <c r="H110" s="18"/>
      <c r="I110" s="18"/>
      <c r="J110" s="19"/>
      <c r="K110" s="55" t="s">
        <v>74</v>
      </c>
      <c r="L110" s="18"/>
      <c r="M110" s="18"/>
      <c r="N110" s="19"/>
      <c r="O110" s="55" t="s">
        <v>75</v>
      </c>
      <c r="P110" s="18"/>
      <c r="Q110" s="19"/>
      <c r="R110" s="55" t="s">
        <v>76</v>
      </c>
      <c r="S110" s="19"/>
      <c r="T110" s="55" t="s">
        <v>77</v>
      </c>
      <c r="U110" s="19"/>
      <c r="V110" s="55" t="s">
        <v>78</v>
      </c>
      <c r="W110" s="19"/>
      <c r="X110" s="55" t="s">
        <v>79</v>
      </c>
      <c r="Y110" s="19"/>
    </row>
    <row r="111" ht="15.75" customHeight="1">
      <c r="A111" s="60">
        <v>1.0</v>
      </c>
      <c r="B111" s="61" t="s">
        <v>190</v>
      </c>
      <c r="C111" s="56" t="s">
        <v>196</v>
      </c>
      <c r="D111" s="18"/>
      <c r="E111" s="18"/>
      <c r="F111" s="19"/>
      <c r="G111" s="65" t="s">
        <v>111</v>
      </c>
      <c r="H111" s="18"/>
      <c r="I111" s="18"/>
      <c r="J111" s="19"/>
      <c r="K111" s="56"/>
      <c r="L111" s="18"/>
      <c r="M111" s="18"/>
      <c r="N111" s="19"/>
      <c r="O111" s="56" t="s">
        <v>83</v>
      </c>
      <c r="P111" s="18"/>
      <c r="Q111" s="19"/>
      <c r="R111" s="56" t="s">
        <v>84</v>
      </c>
      <c r="S111" s="19"/>
      <c r="T111" s="56"/>
      <c r="U111" s="19"/>
      <c r="V111" s="56"/>
      <c r="W111" s="19"/>
      <c r="X111" s="56"/>
      <c r="Y111" s="19"/>
    </row>
    <row r="112" ht="15.75" customHeight="1">
      <c r="A112" s="60">
        <v>2.0</v>
      </c>
      <c r="B112" s="61" t="s">
        <v>197</v>
      </c>
      <c r="C112" s="56" t="s">
        <v>198</v>
      </c>
      <c r="D112" s="18"/>
      <c r="E112" s="18"/>
      <c r="F112" s="19"/>
      <c r="G112" s="56" t="s">
        <v>91</v>
      </c>
      <c r="H112" s="18"/>
      <c r="I112" s="18"/>
      <c r="J112" s="19"/>
      <c r="K112" s="67">
        <v>50.0</v>
      </c>
      <c r="L112" s="18"/>
      <c r="M112" s="18"/>
      <c r="N112" s="19"/>
      <c r="O112" s="56" t="s">
        <v>83</v>
      </c>
      <c r="P112" s="18"/>
      <c r="Q112" s="19"/>
      <c r="R112" s="56"/>
      <c r="S112" s="19"/>
      <c r="T112" s="56" t="s">
        <v>84</v>
      </c>
      <c r="U112" s="19"/>
      <c r="V112" s="56"/>
      <c r="W112" s="19"/>
      <c r="X112" s="56"/>
      <c r="Y112" s="19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ht="15.75" customHeight="1">
      <c r="A114" s="54">
        <v>12.0</v>
      </c>
      <c r="B114" s="55" t="s">
        <v>2</v>
      </c>
      <c r="C114" s="56" t="s">
        <v>27</v>
      </c>
      <c r="D114" s="18"/>
      <c r="E114" s="18"/>
      <c r="F114" s="19"/>
      <c r="G114" s="55" t="s">
        <v>3</v>
      </c>
      <c r="H114" s="18"/>
      <c r="I114" s="18"/>
      <c r="J114" s="19"/>
      <c r="K114" s="39" t="s">
        <v>28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9"/>
      <c r="X114" s="57" t="s">
        <v>70</v>
      </c>
      <c r="Y114" s="58">
        <v>1.0</v>
      </c>
    </row>
    <row r="115" ht="15.75" customHeight="1">
      <c r="A115" s="59" t="s">
        <v>1</v>
      </c>
      <c r="B115" s="57" t="s">
        <v>71</v>
      </c>
      <c r="C115" s="55" t="s">
        <v>72</v>
      </c>
      <c r="D115" s="18"/>
      <c r="E115" s="18"/>
      <c r="F115" s="19"/>
      <c r="G115" s="55" t="s">
        <v>73</v>
      </c>
      <c r="H115" s="18"/>
      <c r="I115" s="18"/>
      <c r="J115" s="19"/>
      <c r="K115" s="55" t="s">
        <v>74</v>
      </c>
      <c r="L115" s="18"/>
      <c r="M115" s="18"/>
      <c r="N115" s="19"/>
      <c r="O115" s="55" t="s">
        <v>75</v>
      </c>
      <c r="P115" s="18"/>
      <c r="Q115" s="19"/>
      <c r="R115" s="55" t="s">
        <v>76</v>
      </c>
      <c r="S115" s="19"/>
      <c r="T115" s="55" t="s">
        <v>77</v>
      </c>
      <c r="U115" s="19"/>
      <c r="V115" s="55" t="s">
        <v>78</v>
      </c>
      <c r="W115" s="19"/>
      <c r="X115" s="55" t="s">
        <v>79</v>
      </c>
      <c r="Y115" s="19"/>
    </row>
    <row r="116" ht="15.75" customHeight="1">
      <c r="A116" s="60">
        <v>1.0</v>
      </c>
      <c r="B116" s="61" t="s">
        <v>199</v>
      </c>
      <c r="C116" s="56" t="s">
        <v>200</v>
      </c>
      <c r="D116" s="18"/>
      <c r="E116" s="18"/>
      <c r="F116" s="19"/>
      <c r="G116" s="56" t="s">
        <v>111</v>
      </c>
      <c r="H116" s="18"/>
      <c r="I116" s="18"/>
      <c r="J116" s="19"/>
      <c r="K116" s="56"/>
      <c r="L116" s="18"/>
      <c r="M116" s="18"/>
      <c r="N116" s="19"/>
      <c r="O116" s="56" t="s">
        <v>83</v>
      </c>
      <c r="P116" s="18"/>
      <c r="Q116" s="19"/>
      <c r="R116" s="56" t="s">
        <v>84</v>
      </c>
      <c r="S116" s="19"/>
      <c r="T116" s="56"/>
      <c r="U116" s="19"/>
      <c r="V116" s="56"/>
      <c r="W116" s="19"/>
      <c r="X116" s="56" t="s">
        <v>201</v>
      </c>
      <c r="Y116" s="19"/>
    </row>
    <row r="117" ht="15.75" customHeight="1">
      <c r="A117" s="60">
        <v>2.0</v>
      </c>
      <c r="B117" s="61" t="s">
        <v>86</v>
      </c>
      <c r="C117" s="56" t="s">
        <v>202</v>
      </c>
      <c r="D117" s="18"/>
      <c r="E117" s="18"/>
      <c r="F117" s="19"/>
      <c r="G117" s="65" t="s">
        <v>82</v>
      </c>
      <c r="H117" s="18"/>
      <c r="I117" s="18"/>
      <c r="J117" s="19"/>
      <c r="K117" s="56"/>
      <c r="L117" s="18"/>
      <c r="M117" s="18"/>
      <c r="N117" s="19"/>
      <c r="O117" s="56" t="s">
        <v>83</v>
      </c>
      <c r="P117" s="18"/>
      <c r="Q117" s="19"/>
      <c r="R117" s="56"/>
      <c r="S117" s="19"/>
      <c r="T117" s="56" t="s">
        <v>84</v>
      </c>
      <c r="U117" s="19"/>
      <c r="V117" s="56"/>
      <c r="W117" s="19"/>
      <c r="X117" s="56" t="s">
        <v>203</v>
      </c>
      <c r="Y117" s="19"/>
    </row>
    <row r="118" ht="15.75" customHeight="1">
      <c r="A118" s="60">
        <v>3.0</v>
      </c>
      <c r="B118" s="61" t="s">
        <v>204</v>
      </c>
      <c r="C118" s="56" t="s">
        <v>205</v>
      </c>
      <c r="D118" s="18"/>
      <c r="E118" s="18"/>
      <c r="F118" s="19"/>
      <c r="G118" s="56" t="s">
        <v>139</v>
      </c>
      <c r="H118" s="18"/>
      <c r="I118" s="18"/>
      <c r="J118" s="19"/>
      <c r="K118" s="56"/>
      <c r="L118" s="18"/>
      <c r="M118" s="18"/>
      <c r="N118" s="19"/>
      <c r="O118" s="56" t="s">
        <v>83</v>
      </c>
      <c r="P118" s="18"/>
      <c r="Q118" s="19"/>
      <c r="R118" s="56"/>
      <c r="S118" s="19"/>
      <c r="T118" s="56" t="s">
        <v>84</v>
      </c>
      <c r="U118" s="19"/>
      <c r="V118" s="56"/>
      <c r="W118" s="19"/>
      <c r="X118" s="56" t="s">
        <v>206</v>
      </c>
      <c r="Y118" s="19"/>
    </row>
    <row r="119" ht="15.75" customHeight="1">
      <c r="A119" s="60">
        <v>4.0</v>
      </c>
      <c r="B119" s="61" t="s">
        <v>207</v>
      </c>
      <c r="C119" s="56" t="s">
        <v>208</v>
      </c>
      <c r="D119" s="18"/>
      <c r="E119" s="18"/>
      <c r="F119" s="19"/>
      <c r="G119" s="56" t="s">
        <v>139</v>
      </c>
      <c r="H119" s="18"/>
      <c r="I119" s="18"/>
      <c r="J119" s="19"/>
      <c r="K119" s="56"/>
      <c r="L119" s="18"/>
      <c r="M119" s="18"/>
      <c r="N119" s="19"/>
      <c r="O119" s="56" t="s">
        <v>83</v>
      </c>
      <c r="P119" s="18"/>
      <c r="Q119" s="19"/>
      <c r="R119" s="56"/>
      <c r="S119" s="19"/>
      <c r="T119" s="56" t="s">
        <v>84</v>
      </c>
      <c r="U119" s="19"/>
      <c r="V119" s="56"/>
      <c r="W119" s="19"/>
      <c r="X119" s="56" t="s">
        <v>209</v>
      </c>
      <c r="Y119" s="19"/>
    </row>
    <row r="120" ht="15.75" customHeight="1">
      <c r="A120" s="60">
        <v>5.0</v>
      </c>
      <c r="B120" s="61" t="s">
        <v>210</v>
      </c>
      <c r="C120" s="56" t="s">
        <v>211</v>
      </c>
      <c r="D120" s="18"/>
      <c r="E120" s="18"/>
      <c r="F120" s="19"/>
      <c r="G120" s="56" t="s">
        <v>212</v>
      </c>
      <c r="H120" s="18"/>
      <c r="I120" s="18"/>
      <c r="J120" s="19"/>
      <c r="K120" s="56"/>
      <c r="L120" s="18"/>
      <c r="M120" s="18"/>
      <c r="N120" s="19"/>
      <c r="O120" s="56" t="s">
        <v>83</v>
      </c>
      <c r="P120" s="18"/>
      <c r="Q120" s="19"/>
      <c r="R120" s="56"/>
      <c r="S120" s="19"/>
      <c r="T120" s="56"/>
      <c r="U120" s="19"/>
      <c r="V120" s="56"/>
      <c r="W120" s="19"/>
      <c r="X120" s="56" t="s">
        <v>213</v>
      </c>
      <c r="Y120" s="19"/>
    </row>
    <row r="121" ht="15.75" customHeight="1">
      <c r="A121" s="60">
        <v>6.0</v>
      </c>
      <c r="B121" s="61" t="s">
        <v>214</v>
      </c>
      <c r="C121" s="56" t="s">
        <v>215</v>
      </c>
      <c r="D121" s="18"/>
      <c r="E121" s="18"/>
      <c r="F121" s="19"/>
      <c r="G121" s="56" t="s">
        <v>98</v>
      </c>
      <c r="H121" s="18"/>
      <c r="I121" s="18"/>
      <c r="J121" s="19"/>
      <c r="K121" s="56"/>
      <c r="L121" s="18"/>
      <c r="M121" s="18"/>
      <c r="N121" s="19"/>
      <c r="O121" s="56" t="s">
        <v>83</v>
      </c>
      <c r="P121" s="18"/>
      <c r="Q121" s="19"/>
      <c r="R121" s="56"/>
      <c r="S121" s="19"/>
      <c r="T121" s="56"/>
      <c r="U121" s="19"/>
      <c r="V121" s="56"/>
      <c r="W121" s="19"/>
      <c r="X121" s="56" t="s">
        <v>216</v>
      </c>
      <c r="Y121" s="19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ht="15.75" customHeight="1">
      <c r="A123" s="54">
        <v>13.0</v>
      </c>
      <c r="B123" s="55" t="s">
        <v>2</v>
      </c>
      <c r="C123" s="39" t="s">
        <v>29</v>
      </c>
      <c r="D123" s="18"/>
      <c r="E123" s="18"/>
      <c r="F123" s="19"/>
      <c r="G123" s="55" t="s">
        <v>3</v>
      </c>
      <c r="H123" s="18"/>
      <c r="I123" s="18"/>
      <c r="J123" s="19"/>
      <c r="K123" s="39" t="s">
        <v>30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9"/>
      <c r="X123" s="57" t="s">
        <v>70</v>
      </c>
      <c r="Y123" s="58">
        <v>1.0</v>
      </c>
    </row>
    <row r="124" ht="15.75" customHeight="1">
      <c r="A124" s="59" t="s">
        <v>1</v>
      </c>
      <c r="B124" s="57" t="s">
        <v>71</v>
      </c>
      <c r="C124" s="55" t="s">
        <v>72</v>
      </c>
      <c r="D124" s="18"/>
      <c r="E124" s="18"/>
      <c r="F124" s="19"/>
      <c r="G124" s="55" t="s">
        <v>73</v>
      </c>
      <c r="H124" s="18"/>
      <c r="I124" s="18"/>
      <c r="J124" s="19"/>
      <c r="K124" s="55" t="s">
        <v>74</v>
      </c>
      <c r="L124" s="18"/>
      <c r="M124" s="18"/>
      <c r="N124" s="19"/>
      <c r="O124" s="55" t="s">
        <v>75</v>
      </c>
      <c r="P124" s="18"/>
      <c r="Q124" s="19"/>
      <c r="R124" s="55" t="s">
        <v>76</v>
      </c>
      <c r="S124" s="19"/>
      <c r="T124" s="55" t="s">
        <v>77</v>
      </c>
      <c r="U124" s="19"/>
      <c r="V124" s="55" t="s">
        <v>78</v>
      </c>
      <c r="W124" s="19"/>
      <c r="X124" s="55" t="s">
        <v>79</v>
      </c>
      <c r="Y124" s="19"/>
    </row>
    <row r="125" ht="15.75" customHeight="1">
      <c r="A125" s="60">
        <v>1.0</v>
      </c>
      <c r="B125" s="61" t="s">
        <v>207</v>
      </c>
      <c r="C125" s="56" t="s">
        <v>217</v>
      </c>
      <c r="D125" s="18"/>
      <c r="E125" s="18"/>
      <c r="F125" s="19"/>
      <c r="G125" s="65" t="s">
        <v>111</v>
      </c>
      <c r="H125" s="18"/>
      <c r="I125" s="18"/>
      <c r="J125" s="19"/>
      <c r="K125" s="56"/>
      <c r="L125" s="18"/>
      <c r="M125" s="18"/>
      <c r="N125" s="19"/>
      <c r="O125" s="56" t="s">
        <v>83</v>
      </c>
      <c r="P125" s="18"/>
      <c r="Q125" s="19"/>
      <c r="R125" s="56" t="s">
        <v>84</v>
      </c>
      <c r="S125" s="19"/>
      <c r="T125" s="56"/>
      <c r="U125" s="19"/>
      <c r="V125" s="56"/>
      <c r="W125" s="19"/>
      <c r="X125" s="56"/>
      <c r="Y125" s="19"/>
    </row>
    <row r="126" ht="15.75" customHeight="1">
      <c r="A126" s="60">
        <v>2.0</v>
      </c>
      <c r="B126" s="61" t="s">
        <v>218</v>
      </c>
      <c r="C126" s="56" t="s">
        <v>219</v>
      </c>
      <c r="D126" s="18"/>
      <c r="E126" s="18"/>
      <c r="F126" s="19"/>
      <c r="G126" s="56" t="s">
        <v>91</v>
      </c>
      <c r="H126" s="18"/>
      <c r="I126" s="18"/>
      <c r="J126" s="19"/>
      <c r="K126" s="67">
        <v>30.0</v>
      </c>
      <c r="L126" s="18"/>
      <c r="M126" s="18"/>
      <c r="N126" s="19"/>
      <c r="O126" s="56" t="s">
        <v>83</v>
      </c>
      <c r="P126" s="18"/>
      <c r="Q126" s="19"/>
      <c r="R126" s="56"/>
      <c r="S126" s="19"/>
      <c r="T126" s="56"/>
      <c r="U126" s="19"/>
      <c r="V126" s="56" t="s">
        <v>84</v>
      </c>
      <c r="W126" s="19"/>
      <c r="X126" s="56"/>
      <c r="Y126" s="19"/>
    </row>
    <row r="127" ht="15.75" customHeight="1">
      <c r="A127" s="60">
        <v>3.0</v>
      </c>
      <c r="B127" s="61" t="s">
        <v>220</v>
      </c>
      <c r="C127" s="56" t="s">
        <v>221</v>
      </c>
      <c r="D127" s="18"/>
      <c r="E127" s="18"/>
      <c r="F127" s="19"/>
      <c r="G127" s="56" t="s">
        <v>222</v>
      </c>
      <c r="H127" s="18"/>
      <c r="I127" s="18"/>
      <c r="J127" s="19"/>
      <c r="K127" s="56"/>
      <c r="L127" s="18"/>
      <c r="M127" s="18"/>
      <c r="N127" s="19"/>
      <c r="O127" s="56" t="s">
        <v>83</v>
      </c>
      <c r="P127" s="18"/>
      <c r="Q127" s="19"/>
      <c r="R127" s="56"/>
      <c r="S127" s="19"/>
      <c r="T127" s="56"/>
      <c r="U127" s="19"/>
      <c r="V127" s="56"/>
      <c r="W127" s="19"/>
      <c r="X127" s="56"/>
      <c r="Y127" s="19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ht="15.75" customHeight="1">
      <c r="A129" s="54">
        <v>14.0</v>
      </c>
      <c r="B129" s="55" t="s">
        <v>2</v>
      </c>
      <c r="C129" s="56" t="s">
        <v>31</v>
      </c>
      <c r="D129" s="18"/>
      <c r="E129" s="18"/>
      <c r="F129" s="19"/>
      <c r="G129" s="55" t="s">
        <v>3</v>
      </c>
      <c r="H129" s="18"/>
      <c r="I129" s="18"/>
      <c r="J129" s="19"/>
      <c r="K129" s="39" t="s">
        <v>32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9"/>
      <c r="X129" s="57" t="s">
        <v>70</v>
      </c>
      <c r="Y129" s="58">
        <v>1.0</v>
      </c>
    </row>
    <row r="130" ht="15.75" customHeight="1">
      <c r="A130" s="59" t="s">
        <v>1</v>
      </c>
      <c r="B130" s="57" t="s">
        <v>71</v>
      </c>
      <c r="C130" s="55" t="s">
        <v>72</v>
      </c>
      <c r="D130" s="18"/>
      <c r="E130" s="18"/>
      <c r="F130" s="19"/>
      <c r="G130" s="55" t="s">
        <v>73</v>
      </c>
      <c r="H130" s="18"/>
      <c r="I130" s="18"/>
      <c r="J130" s="19"/>
      <c r="K130" s="55" t="s">
        <v>74</v>
      </c>
      <c r="L130" s="18"/>
      <c r="M130" s="18"/>
      <c r="N130" s="19"/>
      <c r="O130" s="55" t="s">
        <v>75</v>
      </c>
      <c r="P130" s="18"/>
      <c r="Q130" s="19"/>
      <c r="R130" s="55" t="s">
        <v>76</v>
      </c>
      <c r="S130" s="19"/>
      <c r="T130" s="55" t="s">
        <v>77</v>
      </c>
      <c r="U130" s="19"/>
      <c r="V130" s="55" t="s">
        <v>78</v>
      </c>
      <c r="W130" s="19"/>
      <c r="X130" s="55" t="s">
        <v>79</v>
      </c>
      <c r="Y130" s="19"/>
    </row>
    <row r="131" ht="15.75" customHeight="1">
      <c r="A131" s="60">
        <v>1.0</v>
      </c>
      <c r="B131" s="61" t="s">
        <v>204</v>
      </c>
      <c r="C131" s="56" t="s">
        <v>223</v>
      </c>
      <c r="D131" s="18"/>
      <c r="E131" s="18"/>
      <c r="F131" s="19"/>
      <c r="G131" s="65" t="s">
        <v>111</v>
      </c>
      <c r="H131" s="18"/>
      <c r="I131" s="18"/>
      <c r="J131" s="19"/>
      <c r="K131" s="56"/>
      <c r="L131" s="18"/>
      <c r="M131" s="18"/>
      <c r="N131" s="19"/>
      <c r="O131" s="56" t="s">
        <v>83</v>
      </c>
      <c r="P131" s="18"/>
      <c r="Q131" s="19"/>
      <c r="R131" s="56" t="s">
        <v>84</v>
      </c>
      <c r="S131" s="19"/>
      <c r="T131" s="56"/>
      <c r="U131" s="19"/>
      <c r="V131" s="56"/>
      <c r="W131" s="19"/>
      <c r="X131" s="56"/>
      <c r="Y131" s="19"/>
    </row>
    <row r="132" ht="15.75" customHeight="1">
      <c r="A132" s="60">
        <v>2.0</v>
      </c>
      <c r="B132" s="61" t="s">
        <v>224</v>
      </c>
      <c r="C132" s="56" t="s">
        <v>225</v>
      </c>
      <c r="D132" s="18"/>
      <c r="E132" s="18"/>
      <c r="F132" s="19"/>
      <c r="G132" s="56" t="s">
        <v>91</v>
      </c>
      <c r="H132" s="18"/>
      <c r="I132" s="18"/>
      <c r="J132" s="19"/>
      <c r="K132" s="56">
        <v>50.0</v>
      </c>
      <c r="L132" s="18"/>
      <c r="M132" s="18"/>
      <c r="N132" s="19"/>
      <c r="O132" s="56" t="s">
        <v>83</v>
      </c>
      <c r="P132" s="18"/>
      <c r="Q132" s="19"/>
      <c r="R132" s="56"/>
      <c r="S132" s="19"/>
      <c r="T132" s="56"/>
      <c r="U132" s="19"/>
      <c r="V132" s="56" t="s">
        <v>84</v>
      </c>
      <c r="W132" s="19"/>
      <c r="X132" s="56"/>
      <c r="Y132" s="19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15.75" customHeight="1">
      <c r="A134" s="54">
        <v>15.0</v>
      </c>
      <c r="B134" s="55" t="s">
        <v>2</v>
      </c>
      <c r="C134" s="56" t="s">
        <v>33</v>
      </c>
      <c r="D134" s="18"/>
      <c r="E134" s="18"/>
      <c r="F134" s="19"/>
      <c r="G134" s="55" t="s">
        <v>3</v>
      </c>
      <c r="H134" s="18"/>
      <c r="I134" s="18"/>
      <c r="J134" s="19"/>
      <c r="K134" s="39" t="s">
        <v>226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9"/>
      <c r="X134" s="57" t="s">
        <v>70</v>
      </c>
      <c r="Y134" s="58">
        <v>1.0</v>
      </c>
    </row>
    <row r="135" ht="15.75" customHeight="1">
      <c r="A135" s="59" t="s">
        <v>1</v>
      </c>
      <c r="B135" s="57" t="s">
        <v>71</v>
      </c>
      <c r="C135" s="55" t="s">
        <v>72</v>
      </c>
      <c r="D135" s="18"/>
      <c r="E135" s="18"/>
      <c r="F135" s="19"/>
      <c r="G135" s="55" t="s">
        <v>73</v>
      </c>
      <c r="H135" s="18"/>
      <c r="I135" s="18"/>
      <c r="J135" s="19"/>
      <c r="K135" s="55" t="s">
        <v>74</v>
      </c>
      <c r="L135" s="18"/>
      <c r="M135" s="18"/>
      <c r="N135" s="19"/>
      <c r="O135" s="55" t="s">
        <v>75</v>
      </c>
      <c r="P135" s="18"/>
      <c r="Q135" s="19"/>
      <c r="R135" s="55" t="s">
        <v>76</v>
      </c>
      <c r="S135" s="19"/>
      <c r="T135" s="55" t="s">
        <v>77</v>
      </c>
      <c r="U135" s="19"/>
      <c r="V135" s="55" t="s">
        <v>78</v>
      </c>
      <c r="W135" s="19"/>
      <c r="X135" s="55" t="s">
        <v>79</v>
      </c>
      <c r="Y135" s="19"/>
    </row>
    <row r="136" ht="15.75" customHeight="1">
      <c r="A136" s="60">
        <v>1.0</v>
      </c>
      <c r="B136" s="61" t="s">
        <v>227</v>
      </c>
      <c r="C136" s="56" t="s">
        <v>228</v>
      </c>
      <c r="D136" s="18"/>
      <c r="E136" s="18"/>
      <c r="F136" s="19"/>
      <c r="G136" s="56" t="s">
        <v>111</v>
      </c>
      <c r="H136" s="18"/>
      <c r="I136" s="18"/>
      <c r="J136" s="19"/>
      <c r="K136" s="56"/>
      <c r="L136" s="18"/>
      <c r="M136" s="18"/>
      <c r="N136" s="19"/>
      <c r="O136" s="56" t="s">
        <v>83</v>
      </c>
      <c r="P136" s="18"/>
      <c r="Q136" s="19"/>
      <c r="R136" s="56" t="s">
        <v>84</v>
      </c>
      <c r="S136" s="19"/>
      <c r="T136" s="56"/>
      <c r="U136" s="19"/>
      <c r="V136" s="56"/>
      <c r="W136" s="19"/>
      <c r="X136" s="56" t="s">
        <v>229</v>
      </c>
      <c r="Y136" s="19"/>
    </row>
    <row r="137" ht="15.75" customHeight="1">
      <c r="A137" s="60">
        <v>2.0</v>
      </c>
      <c r="B137" s="61" t="s">
        <v>230</v>
      </c>
      <c r="C137" s="56" t="s">
        <v>231</v>
      </c>
      <c r="D137" s="18"/>
      <c r="E137" s="18"/>
      <c r="F137" s="19"/>
      <c r="G137" s="65" t="s">
        <v>82</v>
      </c>
      <c r="H137" s="18"/>
      <c r="I137" s="18"/>
      <c r="J137" s="19"/>
      <c r="K137" s="56"/>
      <c r="L137" s="18"/>
      <c r="M137" s="18"/>
      <c r="N137" s="19"/>
      <c r="O137" s="56" t="s">
        <v>83</v>
      </c>
      <c r="P137" s="18"/>
      <c r="Q137" s="19"/>
      <c r="R137" s="56"/>
      <c r="S137" s="19"/>
      <c r="T137" s="56" t="s">
        <v>84</v>
      </c>
      <c r="U137" s="19"/>
      <c r="V137" s="56"/>
      <c r="W137" s="19"/>
      <c r="X137" s="56" t="s">
        <v>232</v>
      </c>
      <c r="Y137" s="19"/>
    </row>
    <row r="138" ht="15.75" customHeight="1">
      <c r="A138" s="60">
        <v>3.0</v>
      </c>
      <c r="B138" s="61" t="s">
        <v>233</v>
      </c>
      <c r="C138" s="56" t="s">
        <v>234</v>
      </c>
      <c r="D138" s="18"/>
      <c r="E138" s="18"/>
      <c r="F138" s="19"/>
      <c r="G138" s="56" t="s">
        <v>91</v>
      </c>
      <c r="H138" s="18"/>
      <c r="I138" s="18"/>
      <c r="J138" s="19"/>
      <c r="K138" s="67">
        <v>100.0</v>
      </c>
      <c r="L138" s="18"/>
      <c r="M138" s="18"/>
      <c r="N138" s="19"/>
      <c r="O138" s="56" t="s">
        <v>83</v>
      </c>
      <c r="P138" s="18"/>
      <c r="Q138" s="19"/>
      <c r="R138" s="56"/>
      <c r="S138" s="19"/>
      <c r="T138" s="56"/>
      <c r="U138" s="19"/>
      <c r="V138" s="56" t="s">
        <v>84</v>
      </c>
      <c r="W138" s="19"/>
      <c r="X138" s="56" t="s">
        <v>235</v>
      </c>
      <c r="Y138" s="19"/>
    </row>
    <row r="139" ht="15.75" customHeight="1">
      <c r="A139" s="60">
        <v>4.0</v>
      </c>
      <c r="B139" s="61" t="s">
        <v>236</v>
      </c>
      <c r="C139" s="56" t="s">
        <v>237</v>
      </c>
      <c r="D139" s="18"/>
      <c r="E139" s="18"/>
      <c r="F139" s="19"/>
      <c r="G139" s="56" t="s">
        <v>212</v>
      </c>
      <c r="H139" s="18"/>
      <c r="I139" s="18"/>
      <c r="J139" s="19"/>
      <c r="K139" s="56"/>
      <c r="L139" s="18"/>
      <c r="M139" s="18"/>
      <c r="N139" s="19"/>
      <c r="O139" s="56" t="s">
        <v>117</v>
      </c>
      <c r="P139" s="18"/>
      <c r="Q139" s="19"/>
      <c r="R139" s="56"/>
      <c r="S139" s="19"/>
      <c r="T139" s="56"/>
      <c r="U139" s="19"/>
      <c r="V139" s="56"/>
      <c r="W139" s="19"/>
      <c r="X139" s="56" t="s">
        <v>238</v>
      </c>
      <c r="Y139" s="19"/>
    </row>
    <row r="140" ht="15.75" customHeight="1">
      <c r="A140" s="60">
        <v>5.0</v>
      </c>
      <c r="B140" s="61" t="s">
        <v>239</v>
      </c>
      <c r="C140" s="56" t="s">
        <v>240</v>
      </c>
      <c r="D140" s="18"/>
      <c r="E140" s="18"/>
      <c r="F140" s="19"/>
      <c r="G140" s="56" t="s">
        <v>133</v>
      </c>
      <c r="H140" s="18"/>
      <c r="I140" s="18"/>
      <c r="J140" s="19"/>
      <c r="K140" s="56"/>
      <c r="L140" s="18"/>
      <c r="M140" s="18"/>
      <c r="N140" s="19"/>
      <c r="O140" s="56" t="s">
        <v>83</v>
      </c>
      <c r="P140" s="18"/>
      <c r="Q140" s="19"/>
      <c r="R140" s="56"/>
      <c r="S140" s="19"/>
      <c r="T140" s="56"/>
      <c r="U140" s="19"/>
      <c r="V140" s="56"/>
      <c r="W140" s="19"/>
      <c r="X140" s="56" t="s">
        <v>241</v>
      </c>
      <c r="Y140" s="19"/>
    </row>
    <row r="141" ht="15.75" customHeight="1">
      <c r="A141" s="60">
        <v>6.0</v>
      </c>
      <c r="B141" s="61" t="s">
        <v>242</v>
      </c>
      <c r="C141" s="56" t="s">
        <v>243</v>
      </c>
      <c r="D141" s="18"/>
      <c r="E141" s="18"/>
      <c r="F141" s="19"/>
      <c r="G141" s="65" t="s">
        <v>91</v>
      </c>
      <c r="H141" s="18"/>
      <c r="I141" s="18"/>
      <c r="J141" s="19"/>
      <c r="K141" s="65">
        <v>20.0</v>
      </c>
      <c r="L141" s="18"/>
      <c r="M141" s="18"/>
      <c r="N141" s="19"/>
      <c r="O141" s="56" t="s">
        <v>83</v>
      </c>
      <c r="P141" s="18"/>
      <c r="Q141" s="19"/>
      <c r="R141" s="56"/>
      <c r="S141" s="19"/>
      <c r="T141" s="56"/>
      <c r="U141" s="19"/>
      <c r="V141" s="56"/>
      <c r="W141" s="19"/>
      <c r="X141" s="56" t="s">
        <v>244</v>
      </c>
      <c r="Y141" s="19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15.75" customHeight="1">
      <c r="A143" s="54">
        <v>16.0</v>
      </c>
      <c r="B143" s="55" t="s">
        <v>2</v>
      </c>
      <c r="C143" s="56" t="s">
        <v>35</v>
      </c>
      <c r="D143" s="18"/>
      <c r="E143" s="18"/>
      <c r="F143" s="19"/>
      <c r="G143" s="55" t="s">
        <v>3</v>
      </c>
      <c r="H143" s="18"/>
      <c r="I143" s="18"/>
      <c r="J143" s="19"/>
      <c r="K143" s="39" t="s">
        <v>36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9"/>
      <c r="X143" s="57" t="s">
        <v>70</v>
      </c>
      <c r="Y143" s="58">
        <v>1.0</v>
      </c>
    </row>
    <row r="144" ht="15.75" customHeight="1">
      <c r="A144" s="59" t="s">
        <v>1</v>
      </c>
      <c r="B144" s="57" t="s">
        <v>71</v>
      </c>
      <c r="C144" s="55" t="s">
        <v>72</v>
      </c>
      <c r="D144" s="18"/>
      <c r="E144" s="18"/>
      <c r="F144" s="19"/>
      <c r="G144" s="55" t="s">
        <v>73</v>
      </c>
      <c r="H144" s="18"/>
      <c r="I144" s="18"/>
      <c r="J144" s="19"/>
      <c r="K144" s="55" t="s">
        <v>74</v>
      </c>
      <c r="L144" s="18"/>
      <c r="M144" s="18"/>
      <c r="N144" s="19"/>
      <c r="O144" s="55" t="s">
        <v>75</v>
      </c>
      <c r="P144" s="18"/>
      <c r="Q144" s="19"/>
      <c r="R144" s="55" t="s">
        <v>76</v>
      </c>
      <c r="S144" s="19"/>
      <c r="T144" s="55" t="s">
        <v>77</v>
      </c>
      <c r="U144" s="19"/>
      <c r="V144" s="55" t="s">
        <v>78</v>
      </c>
      <c r="W144" s="19"/>
      <c r="X144" s="55" t="s">
        <v>79</v>
      </c>
      <c r="Y144" s="19"/>
    </row>
    <row r="145" ht="15.75" customHeight="1">
      <c r="A145" s="60">
        <v>1.0</v>
      </c>
      <c r="B145" s="61" t="s">
        <v>245</v>
      </c>
      <c r="C145" s="56" t="s">
        <v>246</v>
      </c>
      <c r="D145" s="18"/>
      <c r="E145" s="18"/>
      <c r="F145" s="19"/>
      <c r="G145" s="56" t="s">
        <v>139</v>
      </c>
      <c r="H145" s="18"/>
      <c r="I145" s="18"/>
      <c r="J145" s="19"/>
      <c r="K145" s="56"/>
      <c r="L145" s="18"/>
      <c r="M145" s="18"/>
      <c r="N145" s="19"/>
      <c r="O145" s="56" t="s">
        <v>83</v>
      </c>
      <c r="P145" s="18"/>
      <c r="Q145" s="19"/>
      <c r="R145" s="56" t="s">
        <v>84</v>
      </c>
      <c r="S145" s="19"/>
      <c r="T145" s="56" t="s">
        <v>84</v>
      </c>
      <c r="U145" s="19"/>
      <c r="V145" s="56"/>
      <c r="W145" s="19"/>
      <c r="X145" s="56" t="s">
        <v>247</v>
      </c>
      <c r="Y145" s="66"/>
    </row>
    <row r="146" ht="15.75" customHeight="1">
      <c r="A146" s="60">
        <v>2.0</v>
      </c>
      <c r="B146" s="61" t="s">
        <v>227</v>
      </c>
      <c r="C146" s="56" t="s">
        <v>248</v>
      </c>
      <c r="D146" s="18"/>
      <c r="E146" s="18"/>
      <c r="F146" s="19"/>
      <c r="G146" s="56" t="s">
        <v>139</v>
      </c>
      <c r="H146" s="18"/>
      <c r="I146" s="18"/>
      <c r="J146" s="19"/>
      <c r="K146" s="56"/>
      <c r="L146" s="18"/>
      <c r="M146" s="18"/>
      <c r="N146" s="19"/>
      <c r="O146" s="56" t="s">
        <v>83</v>
      </c>
      <c r="P146" s="18"/>
      <c r="Q146" s="19"/>
      <c r="R146" s="56" t="s">
        <v>84</v>
      </c>
      <c r="S146" s="19"/>
      <c r="T146" s="56" t="s">
        <v>84</v>
      </c>
      <c r="U146" s="19"/>
      <c r="V146" s="56"/>
      <c r="W146" s="19"/>
      <c r="X146" s="56" t="s">
        <v>173</v>
      </c>
      <c r="Y146" s="66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5.75" customHeight="1">
      <c r="A148" s="54">
        <v>17.0</v>
      </c>
      <c r="B148" s="55" t="s">
        <v>2</v>
      </c>
      <c r="C148" s="56" t="s">
        <v>37</v>
      </c>
      <c r="D148" s="18"/>
      <c r="E148" s="18"/>
      <c r="F148" s="19"/>
      <c r="G148" s="55" t="s">
        <v>3</v>
      </c>
      <c r="H148" s="18"/>
      <c r="I148" s="18"/>
      <c r="J148" s="19"/>
      <c r="K148" s="39" t="s">
        <v>38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9"/>
      <c r="X148" s="57" t="s">
        <v>70</v>
      </c>
      <c r="Y148" s="58">
        <v>1.0</v>
      </c>
    </row>
    <row r="149" ht="15.75" customHeight="1">
      <c r="A149" s="59" t="s">
        <v>1</v>
      </c>
      <c r="B149" s="57" t="s">
        <v>71</v>
      </c>
      <c r="C149" s="55" t="s">
        <v>72</v>
      </c>
      <c r="D149" s="18"/>
      <c r="E149" s="18"/>
      <c r="F149" s="19"/>
      <c r="G149" s="55" t="s">
        <v>73</v>
      </c>
      <c r="H149" s="18"/>
      <c r="I149" s="18"/>
      <c r="J149" s="19"/>
      <c r="K149" s="55" t="s">
        <v>74</v>
      </c>
      <c r="L149" s="18"/>
      <c r="M149" s="18"/>
      <c r="N149" s="19"/>
      <c r="O149" s="55" t="s">
        <v>75</v>
      </c>
      <c r="P149" s="18"/>
      <c r="Q149" s="19"/>
      <c r="R149" s="55" t="s">
        <v>76</v>
      </c>
      <c r="S149" s="19"/>
      <c r="T149" s="55" t="s">
        <v>77</v>
      </c>
      <c r="U149" s="19"/>
      <c r="V149" s="55" t="s">
        <v>78</v>
      </c>
      <c r="W149" s="19"/>
      <c r="X149" s="55" t="s">
        <v>79</v>
      </c>
      <c r="Y149" s="19"/>
    </row>
    <row r="150" ht="15.75" customHeight="1">
      <c r="A150" s="60">
        <v>1.0</v>
      </c>
      <c r="B150" s="61" t="s">
        <v>245</v>
      </c>
      <c r="C150" s="56" t="s">
        <v>249</v>
      </c>
      <c r="D150" s="18"/>
      <c r="E150" s="18"/>
      <c r="F150" s="19"/>
      <c r="G150" s="65" t="s">
        <v>111</v>
      </c>
      <c r="H150" s="18"/>
      <c r="I150" s="18"/>
      <c r="J150" s="19"/>
      <c r="K150" s="56"/>
      <c r="L150" s="18"/>
      <c r="M150" s="18"/>
      <c r="N150" s="19"/>
      <c r="O150" s="56" t="s">
        <v>83</v>
      </c>
      <c r="P150" s="18"/>
      <c r="Q150" s="19"/>
      <c r="R150" s="56" t="s">
        <v>84</v>
      </c>
      <c r="S150" s="19"/>
      <c r="T150" s="56"/>
      <c r="U150" s="19"/>
      <c r="V150" s="56"/>
      <c r="W150" s="19"/>
      <c r="X150" s="56"/>
      <c r="Y150" s="19"/>
    </row>
    <row r="151" ht="15.75" customHeight="1">
      <c r="A151" s="60">
        <v>2.0</v>
      </c>
      <c r="B151" s="61" t="s">
        <v>250</v>
      </c>
      <c r="C151" s="56" t="s">
        <v>251</v>
      </c>
      <c r="D151" s="18"/>
      <c r="E151" s="18"/>
      <c r="F151" s="19"/>
      <c r="G151" s="56" t="s">
        <v>91</v>
      </c>
      <c r="H151" s="18"/>
      <c r="I151" s="18"/>
      <c r="J151" s="19"/>
      <c r="K151" s="67">
        <v>50.0</v>
      </c>
      <c r="L151" s="18"/>
      <c r="M151" s="18"/>
      <c r="N151" s="19"/>
      <c r="O151" s="56" t="s">
        <v>83</v>
      </c>
      <c r="P151" s="18"/>
      <c r="Q151" s="19"/>
      <c r="R151" s="56"/>
      <c r="S151" s="19"/>
      <c r="T151" s="56"/>
      <c r="U151" s="19"/>
      <c r="V151" s="56" t="s">
        <v>84</v>
      </c>
      <c r="W151" s="19"/>
      <c r="X151" s="56"/>
      <c r="Y151" s="19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5.75" customHeight="1">
      <c r="A153" s="54">
        <v>18.0</v>
      </c>
      <c r="B153" s="55" t="s">
        <v>2</v>
      </c>
      <c r="C153" s="56" t="s">
        <v>39</v>
      </c>
      <c r="D153" s="18"/>
      <c r="E153" s="18"/>
      <c r="F153" s="19"/>
      <c r="G153" s="55" t="s">
        <v>3</v>
      </c>
      <c r="H153" s="18"/>
      <c r="I153" s="18"/>
      <c r="J153" s="19"/>
      <c r="K153" s="39" t="s">
        <v>40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9"/>
      <c r="X153" s="57" t="s">
        <v>70</v>
      </c>
      <c r="Y153" s="58">
        <v>1.0</v>
      </c>
    </row>
    <row r="154" ht="15.75" customHeight="1">
      <c r="A154" s="59" t="s">
        <v>1</v>
      </c>
      <c r="B154" s="57" t="s">
        <v>71</v>
      </c>
      <c r="C154" s="55" t="s">
        <v>72</v>
      </c>
      <c r="D154" s="18"/>
      <c r="E154" s="18"/>
      <c r="F154" s="19"/>
      <c r="G154" s="55" t="s">
        <v>73</v>
      </c>
      <c r="H154" s="18"/>
      <c r="I154" s="18"/>
      <c r="J154" s="19"/>
      <c r="K154" s="55" t="s">
        <v>74</v>
      </c>
      <c r="L154" s="18"/>
      <c r="M154" s="18"/>
      <c r="N154" s="19"/>
      <c r="O154" s="55" t="s">
        <v>75</v>
      </c>
      <c r="P154" s="18"/>
      <c r="Q154" s="19"/>
      <c r="R154" s="55" t="s">
        <v>76</v>
      </c>
      <c r="S154" s="19"/>
      <c r="T154" s="55" t="s">
        <v>77</v>
      </c>
      <c r="U154" s="19"/>
      <c r="V154" s="55" t="s">
        <v>78</v>
      </c>
      <c r="W154" s="19"/>
      <c r="X154" s="55" t="s">
        <v>79</v>
      </c>
      <c r="Y154" s="19"/>
    </row>
    <row r="155" ht="15.75" customHeight="1">
      <c r="A155" s="60">
        <v>1.0</v>
      </c>
      <c r="B155" s="61" t="s">
        <v>252</v>
      </c>
      <c r="C155" s="56" t="s">
        <v>253</v>
      </c>
      <c r="D155" s="18"/>
      <c r="E155" s="18"/>
      <c r="F155" s="19"/>
      <c r="G155" s="56" t="s">
        <v>111</v>
      </c>
      <c r="H155" s="18"/>
      <c r="I155" s="18"/>
      <c r="J155" s="19"/>
      <c r="K155" s="56"/>
      <c r="L155" s="18"/>
      <c r="M155" s="18"/>
      <c r="N155" s="19"/>
      <c r="O155" s="56" t="s">
        <v>83</v>
      </c>
      <c r="P155" s="18"/>
      <c r="Q155" s="19"/>
      <c r="R155" s="56" t="s">
        <v>84</v>
      </c>
      <c r="S155" s="19"/>
      <c r="T155" s="56"/>
      <c r="U155" s="19"/>
      <c r="V155" s="56"/>
      <c r="W155" s="19"/>
      <c r="X155" s="56" t="s">
        <v>229</v>
      </c>
      <c r="Y155" s="19"/>
    </row>
    <row r="156" ht="15.75" customHeight="1">
      <c r="A156" s="60">
        <v>2.0</v>
      </c>
      <c r="B156" s="61" t="s">
        <v>227</v>
      </c>
      <c r="C156" s="56" t="s">
        <v>254</v>
      </c>
      <c r="D156" s="18"/>
      <c r="E156" s="18"/>
      <c r="F156" s="19"/>
      <c r="G156" s="65" t="s">
        <v>139</v>
      </c>
      <c r="H156" s="18"/>
      <c r="I156" s="18"/>
      <c r="J156" s="19"/>
      <c r="K156" s="56"/>
      <c r="L156" s="18"/>
      <c r="M156" s="18"/>
      <c r="N156" s="19"/>
      <c r="O156" s="56" t="s">
        <v>83</v>
      </c>
      <c r="P156" s="18"/>
      <c r="Q156" s="19"/>
      <c r="R156" s="56"/>
      <c r="S156" s="19"/>
      <c r="T156" s="56" t="s">
        <v>84</v>
      </c>
      <c r="U156" s="19"/>
      <c r="V156" s="56"/>
      <c r="W156" s="19"/>
      <c r="X156" s="56"/>
      <c r="Y156" s="19"/>
    </row>
    <row r="157" ht="15.75" customHeight="1">
      <c r="A157" s="60">
        <v>3.0</v>
      </c>
      <c r="B157" s="61" t="s">
        <v>255</v>
      </c>
      <c r="C157" s="56" t="s">
        <v>256</v>
      </c>
      <c r="D157" s="18"/>
      <c r="E157" s="18"/>
      <c r="F157" s="19"/>
      <c r="G157" s="56" t="s">
        <v>91</v>
      </c>
      <c r="H157" s="18"/>
      <c r="I157" s="18"/>
      <c r="J157" s="19"/>
      <c r="K157" s="67">
        <v>250.0</v>
      </c>
      <c r="L157" s="18"/>
      <c r="M157" s="18"/>
      <c r="N157" s="19"/>
      <c r="O157" s="56" t="s">
        <v>83</v>
      </c>
      <c r="P157" s="18"/>
      <c r="Q157" s="19"/>
      <c r="R157" s="56"/>
      <c r="S157" s="19"/>
      <c r="T157" s="56"/>
      <c r="U157" s="19"/>
      <c r="V157" s="56"/>
      <c r="W157" s="19"/>
      <c r="X157" s="56"/>
      <c r="Y157" s="19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5.75" customHeight="1">
      <c r="A159" s="54">
        <v>19.0</v>
      </c>
      <c r="B159" s="55" t="s">
        <v>2</v>
      </c>
      <c r="C159" s="56" t="s">
        <v>41</v>
      </c>
      <c r="D159" s="18"/>
      <c r="E159" s="18"/>
      <c r="F159" s="19"/>
      <c r="G159" s="55" t="s">
        <v>3</v>
      </c>
      <c r="H159" s="18"/>
      <c r="I159" s="18"/>
      <c r="J159" s="19"/>
      <c r="K159" s="39" t="s">
        <v>42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9"/>
      <c r="X159" s="57" t="s">
        <v>70</v>
      </c>
      <c r="Y159" s="58">
        <v>1.0</v>
      </c>
    </row>
    <row r="160" ht="15.75" customHeight="1">
      <c r="A160" s="59" t="s">
        <v>1</v>
      </c>
      <c r="B160" s="57" t="s">
        <v>71</v>
      </c>
      <c r="C160" s="55" t="s">
        <v>72</v>
      </c>
      <c r="D160" s="18"/>
      <c r="E160" s="18"/>
      <c r="F160" s="19"/>
      <c r="G160" s="55" t="s">
        <v>73</v>
      </c>
      <c r="H160" s="18"/>
      <c r="I160" s="18"/>
      <c r="J160" s="19"/>
      <c r="K160" s="55" t="s">
        <v>74</v>
      </c>
      <c r="L160" s="18"/>
      <c r="M160" s="18"/>
      <c r="N160" s="19"/>
      <c r="O160" s="55" t="s">
        <v>75</v>
      </c>
      <c r="P160" s="18"/>
      <c r="Q160" s="19"/>
      <c r="R160" s="55" t="s">
        <v>76</v>
      </c>
      <c r="S160" s="19"/>
      <c r="T160" s="55" t="s">
        <v>77</v>
      </c>
      <c r="U160" s="19"/>
      <c r="V160" s="55" t="s">
        <v>78</v>
      </c>
      <c r="W160" s="19"/>
      <c r="X160" s="55" t="s">
        <v>79</v>
      </c>
      <c r="Y160" s="19"/>
    </row>
    <row r="161" ht="15.75" customHeight="1">
      <c r="A161" s="60">
        <v>1.0</v>
      </c>
      <c r="B161" s="61" t="s">
        <v>86</v>
      </c>
      <c r="C161" s="56" t="s">
        <v>257</v>
      </c>
      <c r="D161" s="18"/>
      <c r="E161" s="18"/>
      <c r="F161" s="19"/>
      <c r="G161" s="65" t="s">
        <v>82</v>
      </c>
      <c r="H161" s="18"/>
      <c r="I161" s="18"/>
      <c r="J161" s="19"/>
      <c r="K161" s="56"/>
      <c r="L161" s="18"/>
      <c r="M161" s="18"/>
      <c r="N161" s="19"/>
      <c r="O161" s="56" t="s">
        <v>176</v>
      </c>
      <c r="P161" s="18"/>
      <c r="Q161" s="19"/>
      <c r="R161" s="56" t="s">
        <v>84</v>
      </c>
      <c r="S161" s="19"/>
      <c r="T161" s="56" t="s">
        <v>84</v>
      </c>
      <c r="U161" s="19"/>
      <c r="V161" s="56"/>
      <c r="W161" s="19"/>
      <c r="X161" s="56" t="s">
        <v>173</v>
      </c>
      <c r="Y161" s="19"/>
    </row>
    <row r="162" ht="15.75" customHeight="1">
      <c r="A162" s="60">
        <v>2.0</v>
      </c>
      <c r="B162" s="61" t="s">
        <v>227</v>
      </c>
      <c r="C162" s="56" t="s">
        <v>258</v>
      </c>
      <c r="D162" s="18"/>
      <c r="E162" s="18"/>
      <c r="F162" s="19"/>
      <c r="G162" s="65" t="s">
        <v>139</v>
      </c>
      <c r="H162" s="18"/>
      <c r="I162" s="18"/>
      <c r="J162" s="19"/>
      <c r="K162" s="56"/>
      <c r="L162" s="18"/>
      <c r="M162" s="18"/>
      <c r="N162" s="19"/>
      <c r="O162" s="56" t="s">
        <v>176</v>
      </c>
      <c r="P162" s="18"/>
      <c r="Q162" s="19"/>
      <c r="R162" s="56" t="s">
        <v>84</v>
      </c>
      <c r="S162" s="19"/>
      <c r="T162" s="56" t="s">
        <v>84</v>
      </c>
      <c r="U162" s="19"/>
      <c r="V162" s="56"/>
      <c r="W162" s="19"/>
      <c r="X162" s="56" t="s">
        <v>173</v>
      </c>
      <c r="Y162" s="19"/>
    </row>
    <row r="163" ht="15.75" customHeight="1">
      <c r="A163" s="60">
        <v>3.0</v>
      </c>
      <c r="B163" s="61" t="s">
        <v>259</v>
      </c>
      <c r="C163" s="56" t="s">
        <v>260</v>
      </c>
      <c r="D163" s="18"/>
      <c r="E163" s="18"/>
      <c r="F163" s="19"/>
      <c r="G163" s="56" t="s">
        <v>133</v>
      </c>
      <c r="H163" s="18"/>
      <c r="I163" s="18"/>
      <c r="J163" s="19"/>
      <c r="K163" s="56"/>
      <c r="L163" s="18"/>
      <c r="M163" s="18"/>
      <c r="N163" s="19"/>
      <c r="O163" s="56" t="s">
        <v>176</v>
      </c>
      <c r="P163" s="18"/>
      <c r="Q163" s="19"/>
      <c r="R163" s="56"/>
      <c r="S163" s="19"/>
      <c r="T163" s="56"/>
      <c r="U163" s="19"/>
      <c r="V163" s="56"/>
      <c r="W163" s="19"/>
      <c r="X163" s="56" t="s">
        <v>261</v>
      </c>
      <c r="Y163" s="19"/>
    </row>
    <row r="164" ht="15.75" customHeight="1">
      <c r="A164" s="60">
        <v>4.0</v>
      </c>
      <c r="B164" s="61" t="s">
        <v>262</v>
      </c>
      <c r="C164" s="56" t="s">
        <v>263</v>
      </c>
      <c r="D164" s="18"/>
      <c r="E164" s="18"/>
      <c r="F164" s="19"/>
      <c r="G164" s="65" t="s">
        <v>91</v>
      </c>
      <c r="H164" s="18"/>
      <c r="I164" s="18"/>
      <c r="J164" s="19"/>
      <c r="K164" s="65">
        <v>20.0</v>
      </c>
      <c r="L164" s="18"/>
      <c r="M164" s="18"/>
      <c r="N164" s="19"/>
      <c r="O164" s="56" t="s">
        <v>176</v>
      </c>
      <c r="P164" s="18"/>
      <c r="Q164" s="19"/>
      <c r="R164" s="56"/>
      <c r="S164" s="19"/>
      <c r="T164" s="56"/>
      <c r="U164" s="19"/>
      <c r="V164" s="56"/>
      <c r="W164" s="19"/>
      <c r="X164" s="56" t="s">
        <v>264</v>
      </c>
      <c r="Y164" s="19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ht="15.75" customHeight="1">
      <c r="A166" s="54">
        <v>20.0</v>
      </c>
      <c r="B166" s="55" t="s">
        <v>2</v>
      </c>
      <c r="C166" s="56" t="s">
        <v>43</v>
      </c>
      <c r="D166" s="18"/>
      <c r="E166" s="18"/>
      <c r="F166" s="19"/>
      <c r="G166" s="55" t="s">
        <v>3</v>
      </c>
      <c r="H166" s="18"/>
      <c r="I166" s="18"/>
      <c r="J166" s="19"/>
      <c r="K166" s="39" t="s">
        <v>44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9"/>
      <c r="X166" s="57" t="s">
        <v>70</v>
      </c>
      <c r="Y166" s="58">
        <v>1.0</v>
      </c>
    </row>
    <row r="167" ht="15.75" customHeight="1">
      <c r="A167" s="59" t="s">
        <v>1</v>
      </c>
      <c r="B167" s="57" t="s">
        <v>71</v>
      </c>
      <c r="C167" s="55" t="s">
        <v>72</v>
      </c>
      <c r="D167" s="18"/>
      <c r="E167" s="18"/>
      <c r="F167" s="19"/>
      <c r="G167" s="55" t="s">
        <v>73</v>
      </c>
      <c r="H167" s="18"/>
      <c r="I167" s="18"/>
      <c r="J167" s="19"/>
      <c r="K167" s="55" t="s">
        <v>74</v>
      </c>
      <c r="L167" s="18"/>
      <c r="M167" s="18"/>
      <c r="N167" s="19"/>
      <c r="O167" s="55" t="s">
        <v>75</v>
      </c>
      <c r="P167" s="18"/>
      <c r="Q167" s="19"/>
      <c r="R167" s="55" t="s">
        <v>76</v>
      </c>
      <c r="S167" s="19"/>
      <c r="T167" s="55" t="s">
        <v>77</v>
      </c>
      <c r="U167" s="19"/>
      <c r="V167" s="55" t="s">
        <v>78</v>
      </c>
      <c r="W167" s="19"/>
      <c r="X167" s="55" t="s">
        <v>79</v>
      </c>
      <c r="Y167" s="19"/>
    </row>
    <row r="168" ht="15.75" customHeight="1">
      <c r="A168" s="60">
        <v>1.0</v>
      </c>
      <c r="B168" s="61" t="s">
        <v>265</v>
      </c>
      <c r="C168" s="56" t="s">
        <v>266</v>
      </c>
      <c r="D168" s="18"/>
      <c r="E168" s="18"/>
      <c r="F168" s="19"/>
      <c r="G168" s="56" t="s">
        <v>111</v>
      </c>
      <c r="H168" s="18"/>
      <c r="I168" s="18"/>
      <c r="J168" s="19"/>
      <c r="K168" s="56"/>
      <c r="L168" s="18"/>
      <c r="M168" s="18"/>
      <c r="N168" s="19"/>
      <c r="O168" s="56" t="s">
        <v>176</v>
      </c>
      <c r="P168" s="18"/>
      <c r="Q168" s="19"/>
      <c r="R168" s="56" t="s">
        <v>84</v>
      </c>
      <c r="S168" s="19"/>
      <c r="T168" s="56"/>
      <c r="U168" s="19"/>
      <c r="V168" s="56"/>
      <c r="W168" s="19"/>
      <c r="X168" s="56" t="s">
        <v>229</v>
      </c>
      <c r="Y168" s="19"/>
    </row>
    <row r="169" ht="15.75" customHeight="1">
      <c r="A169" s="60">
        <v>2.0</v>
      </c>
      <c r="B169" s="61" t="s">
        <v>267</v>
      </c>
      <c r="C169" s="56" t="s">
        <v>268</v>
      </c>
      <c r="D169" s="18"/>
      <c r="E169" s="18"/>
      <c r="F169" s="19"/>
      <c r="G169" s="65" t="s">
        <v>82</v>
      </c>
      <c r="H169" s="18"/>
      <c r="I169" s="18"/>
      <c r="J169" s="19"/>
      <c r="K169" s="56"/>
      <c r="L169" s="18"/>
      <c r="M169" s="18"/>
      <c r="N169" s="19"/>
      <c r="O169" s="56" t="s">
        <v>176</v>
      </c>
      <c r="P169" s="18"/>
      <c r="Q169" s="19"/>
      <c r="R169" s="56"/>
      <c r="S169" s="19"/>
      <c r="T169" s="56" t="s">
        <v>84</v>
      </c>
      <c r="U169" s="19"/>
      <c r="V169" s="56"/>
      <c r="W169" s="19"/>
      <c r="X169" s="56"/>
      <c r="Y169" s="19"/>
    </row>
    <row r="170" ht="15.75" customHeight="1">
      <c r="A170" s="60">
        <v>3.0</v>
      </c>
      <c r="B170" s="61" t="s">
        <v>269</v>
      </c>
      <c r="C170" s="56" t="s">
        <v>270</v>
      </c>
      <c r="D170" s="18"/>
      <c r="E170" s="18"/>
      <c r="F170" s="19"/>
      <c r="G170" s="65" t="s">
        <v>139</v>
      </c>
      <c r="H170" s="18"/>
      <c r="I170" s="18"/>
      <c r="J170" s="19"/>
      <c r="K170" s="56"/>
      <c r="L170" s="18"/>
      <c r="M170" s="18"/>
      <c r="N170" s="19"/>
      <c r="O170" s="56" t="s">
        <v>176</v>
      </c>
      <c r="P170" s="18"/>
      <c r="Q170" s="19"/>
      <c r="R170" s="56"/>
      <c r="S170" s="19"/>
      <c r="T170" s="56" t="s">
        <v>84</v>
      </c>
      <c r="U170" s="19"/>
      <c r="V170" s="56"/>
      <c r="W170" s="19"/>
      <c r="X170" s="56"/>
      <c r="Y170" s="19"/>
    </row>
    <row r="171" ht="15.75" customHeight="1">
      <c r="A171" s="60">
        <v>4.0</v>
      </c>
      <c r="B171" s="61" t="s">
        <v>271</v>
      </c>
      <c r="C171" s="56" t="s">
        <v>272</v>
      </c>
      <c r="D171" s="18"/>
      <c r="E171" s="18"/>
      <c r="F171" s="19"/>
      <c r="G171" s="56" t="s">
        <v>91</v>
      </c>
      <c r="H171" s="18"/>
      <c r="I171" s="18"/>
      <c r="J171" s="19"/>
      <c r="K171" s="67">
        <v>50.0</v>
      </c>
      <c r="L171" s="18"/>
      <c r="M171" s="18"/>
      <c r="N171" s="19"/>
      <c r="O171" s="56" t="s">
        <v>176</v>
      </c>
      <c r="P171" s="18"/>
      <c r="Q171" s="19"/>
      <c r="R171" s="56"/>
      <c r="S171" s="19"/>
      <c r="T171" s="56"/>
      <c r="U171" s="19"/>
      <c r="V171" s="56"/>
      <c r="W171" s="19"/>
      <c r="X171" s="56"/>
      <c r="Y171" s="19"/>
    </row>
    <row r="172" ht="15.75" customHeight="1">
      <c r="A172" s="60">
        <v>5.0</v>
      </c>
      <c r="B172" s="61" t="s">
        <v>236</v>
      </c>
      <c r="C172" s="56" t="s">
        <v>273</v>
      </c>
      <c r="D172" s="18"/>
      <c r="E172" s="18"/>
      <c r="F172" s="19"/>
      <c r="G172" s="56" t="s">
        <v>212</v>
      </c>
      <c r="H172" s="18"/>
      <c r="I172" s="18"/>
      <c r="J172" s="19"/>
      <c r="K172" s="67">
        <v>250.0</v>
      </c>
      <c r="L172" s="18"/>
      <c r="M172" s="18"/>
      <c r="N172" s="19"/>
      <c r="O172" s="56" t="s">
        <v>176</v>
      </c>
      <c r="P172" s="18"/>
      <c r="Q172" s="19"/>
      <c r="R172" s="56"/>
      <c r="S172" s="19"/>
      <c r="T172" s="56"/>
      <c r="U172" s="19"/>
      <c r="V172" s="56"/>
      <c r="W172" s="19"/>
      <c r="X172" s="56"/>
      <c r="Y172" s="19"/>
    </row>
    <row r="173" ht="15.75" customHeight="1">
      <c r="A173" s="60">
        <v>6.0</v>
      </c>
      <c r="B173" s="61" t="s">
        <v>274</v>
      </c>
      <c r="C173" s="56" t="s">
        <v>275</v>
      </c>
      <c r="D173" s="18"/>
      <c r="E173" s="18"/>
      <c r="F173" s="19"/>
      <c r="G173" s="56" t="s">
        <v>98</v>
      </c>
      <c r="H173" s="18"/>
      <c r="I173" s="18"/>
      <c r="J173" s="19"/>
      <c r="K173" s="56"/>
      <c r="L173" s="18"/>
      <c r="M173" s="18"/>
      <c r="N173" s="19"/>
      <c r="O173" s="56" t="s">
        <v>176</v>
      </c>
      <c r="P173" s="18"/>
      <c r="Q173" s="19"/>
      <c r="R173" s="56"/>
      <c r="S173" s="19"/>
      <c r="T173" s="56"/>
      <c r="U173" s="19"/>
      <c r="V173" s="56"/>
      <c r="W173" s="19"/>
      <c r="X173" s="56"/>
      <c r="Y173" s="19"/>
    </row>
    <row r="174" ht="15.75" customHeight="1">
      <c r="A174" s="60">
        <v>7.0</v>
      </c>
      <c r="B174" s="61" t="s">
        <v>276</v>
      </c>
      <c r="C174" s="56" t="s">
        <v>277</v>
      </c>
      <c r="D174" s="18"/>
      <c r="E174" s="18"/>
      <c r="F174" s="19"/>
      <c r="G174" s="56" t="s">
        <v>98</v>
      </c>
      <c r="H174" s="18"/>
      <c r="I174" s="18"/>
      <c r="J174" s="19"/>
      <c r="K174" s="56"/>
      <c r="L174" s="18"/>
      <c r="M174" s="18"/>
      <c r="N174" s="19"/>
      <c r="O174" s="56" t="s">
        <v>176</v>
      </c>
      <c r="P174" s="18"/>
      <c r="Q174" s="19"/>
      <c r="R174" s="56"/>
      <c r="S174" s="19"/>
      <c r="T174" s="56"/>
      <c r="U174" s="19"/>
      <c r="V174" s="56"/>
      <c r="W174" s="19"/>
      <c r="X174" s="61"/>
      <c r="Y174" s="61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5.75" customHeight="1">
      <c r="A176" s="54">
        <v>21.0</v>
      </c>
      <c r="B176" s="55" t="s">
        <v>2</v>
      </c>
      <c r="C176" s="56" t="s">
        <v>45</v>
      </c>
      <c r="D176" s="18"/>
      <c r="E176" s="18"/>
      <c r="F176" s="19"/>
      <c r="G176" s="55" t="s">
        <v>3</v>
      </c>
      <c r="H176" s="18"/>
      <c r="I176" s="18"/>
      <c r="J176" s="19"/>
      <c r="K176" s="39" t="s">
        <v>278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9"/>
      <c r="X176" s="57" t="s">
        <v>70</v>
      </c>
      <c r="Y176" s="58">
        <v>1.0</v>
      </c>
    </row>
    <row r="177" ht="15.75" customHeight="1">
      <c r="A177" s="59" t="s">
        <v>1</v>
      </c>
      <c r="B177" s="57" t="s">
        <v>71</v>
      </c>
      <c r="C177" s="55" t="s">
        <v>72</v>
      </c>
      <c r="D177" s="18"/>
      <c r="E177" s="18"/>
      <c r="F177" s="19"/>
      <c r="G177" s="55" t="s">
        <v>73</v>
      </c>
      <c r="H177" s="18"/>
      <c r="I177" s="18"/>
      <c r="J177" s="19"/>
      <c r="K177" s="55" t="s">
        <v>74</v>
      </c>
      <c r="L177" s="18"/>
      <c r="M177" s="18"/>
      <c r="N177" s="19"/>
      <c r="O177" s="55" t="s">
        <v>75</v>
      </c>
      <c r="P177" s="18"/>
      <c r="Q177" s="19"/>
      <c r="R177" s="55" t="s">
        <v>76</v>
      </c>
      <c r="S177" s="19"/>
      <c r="T177" s="55" t="s">
        <v>77</v>
      </c>
      <c r="U177" s="19"/>
      <c r="V177" s="55" t="s">
        <v>78</v>
      </c>
      <c r="W177" s="19"/>
      <c r="X177" s="55" t="s">
        <v>79</v>
      </c>
      <c r="Y177" s="19"/>
    </row>
    <row r="178" ht="15.75" customHeight="1">
      <c r="A178" s="68">
        <v>1.0</v>
      </c>
      <c r="B178" s="61" t="s">
        <v>269</v>
      </c>
      <c r="C178" s="56" t="s">
        <v>279</v>
      </c>
      <c r="D178" s="18"/>
      <c r="E178" s="18"/>
      <c r="F178" s="19"/>
      <c r="G178" s="65" t="s">
        <v>111</v>
      </c>
      <c r="H178" s="18"/>
      <c r="I178" s="18"/>
      <c r="J178" s="19"/>
      <c r="K178" s="56"/>
      <c r="L178" s="18"/>
      <c r="M178" s="18"/>
      <c r="N178" s="19"/>
      <c r="O178" s="56" t="s">
        <v>176</v>
      </c>
      <c r="P178" s="18"/>
      <c r="Q178" s="19"/>
      <c r="R178" s="56" t="s">
        <v>84</v>
      </c>
      <c r="S178" s="19"/>
      <c r="T178" s="56"/>
      <c r="U178" s="19"/>
      <c r="V178" s="56"/>
      <c r="W178" s="19"/>
      <c r="X178" s="56" t="s">
        <v>229</v>
      </c>
      <c r="Y178" s="19"/>
    </row>
    <row r="179" ht="15.75" customHeight="1">
      <c r="A179" s="68">
        <v>2.0</v>
      </c>
      <c r="B179" s="61" t="s">
        <v>280</v>
      </c>
      <c r="C179" s="56" t="s">
        <v>281</v>
      </c>
      <c r="D179" s="18"/>
      <c r="E179" s="18"/>
      <c r="F179" s="19"/>
      <c r="G179" s="56" t="s">
        <v>91</v>
      </c>
      <c r="H179" s="18"/>
      <c r="I179" s="18"/>
      <c r="J179" s="19"/>
      <c r="K179" s="67">
        <v>50.0</v>
      </c>
      <c r="L179" s="18"/>
      <c r="M179" s="18"/>
      <c r="N179" s="19"/>
      <c r="O179" s="56" t="s">
        <v>176</v>
      </c>
      <c r="P179" s="18"/>
      <c r="Q179" s="19"/>
      <c r="R179" s="56"/>
      <c r="S179" s="19"/>
      <c r="T179" s="56"/>
      <c r="U179" s="19"/>
      <c r="V179" s="56"/>
      <c r="W179" s="19"/>
      <c r="X179" s="56"/>
      <c r="Y179" s="19"/>
    </row>
    <row r="180" ht="15.75" customHeight="1">
      <c r="A180" s="68">
        <v>3.0</v>
      </c>
      <c r="B180" s="61" t="s">
        <v>282</v>
      </c>
      <c r="C180" s="56" t="s">
        <v>283</v>
      </c>
      <c r="D180" s="18"/>
      <c r="E180" s="18"/>
      <c r="F180" s="19"/>
      <c r="G180" s="56" t="s">
        <v>91</v>
      </c>
      <c r="H180" s="18"/>
      <c r="I180" s="18"/>
      <c r="J180" s="19"/>
      <c r="K180" s="67">
        <v>50.0</v>
      </c>
      <c r="L180" s="18"/>
      <c r="M180" s="18"/>
      <c r="N180" s="19"/>
      <c r="O180" s="56" t="s">
        <v>117</v>
      </c>
      <c r="P180" s="18"/>
      <c r="Q180" s="19"/>
      <c r="R180" s="56"/>
      <c r="S180" s="19"/>
      <c r="T180" s="56"/>
      <c r="U180" s="19"/>
      <c r="V180" s="56"/>
      <c r="W180" s="19"/>
      <c r="X180" s="56"/>
      <c r="Y180" s="19"/>
    </row>
    <row r="181" ht="15.75" customHeight="1">
      <c r="A181" s="68">
        <v>4.0</v>
      </c>
      <c r="B181" s="61" t="s">
        <v>284</v>
      </c>
      <c r="C181" s="56" t="s">
        <v>285</v>
      </c>
      <c r="D181" s="18"/>
      <c r="E181" s="18"/>
      <c r="F181" s="19"/>
      <c r="G181" s="56" t="s">
        <v>91</v>
      </c>
      <c r="H181" s="18"/>
      <c r="I181" s="18"/>
      <c r="J181" s="19"/>
      <c r="K181" s="67">
        <v>50.0</v>
      </c>
      <c r="L181" s="18"/>
      <c r="M181" s="18"/>
      <c r="N181" s="19"/>
      <c r="O181" s="56" t="s">
        <v>176</v>
      </c>
      <c r="P181" s="18"/>
      <c r="Q181" s="19"/>
      <c r="R181" s="56"/>
      <c r="S181" s="19"/>
      <c r="T181" s="56"/>
      <c r="U181" s="19"/>
      <c r="V181" s="56"/>
      <c r="W181" s="19"/>
      <c r="X181" s="56"/>
      <c r="Y181" s="19"/>
    </row>
    <row r="182" ht="15.75" customHeight="1">
      <c r="A182" s="68">
        <v>5.0</v>
      </c>
      <c r="B182" s="61" t="s">
        <v>286</v>
      </c>
      <c r="C182" s="56" t="s">
        <v>287</v>
      </c>
      <c r="D182" s="18"/>
      <c r="E182" s="18"/>
      <c r="F182" s="19"/>
      <c r="G182" s="56" t="s">
        <v>139</v>
      </c>
      <c r="H182" s="18"/>
      <c r="I182" s="18"/>
      <c r="J182" s="19"/>
      <c r="K182" s="56"/>
      <c r="L182" s="18"/>
      <c r="M182" s="18"/>
      <c r="N182" s="19"/>
      <c r="O182" s="56" t="s">
        <v>117</v>
      </c>
      <c r="P182" s="18"/>
      <c r="Q182" s="19"/>
      <c r="R182" s="56"/>
      <c r="S182" s="19"/>
      <c r="T182" s="56"/>
      <c r="U182" s="19"/>
      <c r="V182" s="56"/>
      <c r="W182" s="19"/>
      <c r="X182" s="56"/>
      <c r="Y182" s="19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ht="15.75" customHeight="1">
      <c r="A184" s="54">
        <v>22.0</v>
      </c>
      <c r="B184" s="55" t="s">
        <v>2</v>
      </c>
      <c r="C184" s="56" t="s">
        <v>47</v>
      </c>
      <c r="D184" s="18"/>
      <c r="E184" s="18"/>
      <c r="F184" s="19"/>
      <c r="G184" s="55" t="s">
        <v>3</v>
      </c>
      <c r="H184" s="18"/>
      <c r="I184" s="18"/>
      <c r="J184" s="19"/>
      <c r="K184" s="39" t="s">
        <v>48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9"/>
      <c r="X184" s="57" t="s">
        <v>70</v>
      </c>
      <c r="Y184" s="58">
        <v>1.0</v>
      </c>
    </row>
    <row r="185" ht="15.75" customHeight="1">
      <c r="A185" s="59" t="s">
        <v>1</v>
      </c>
      <c r="B185" s="57" t="s">
        <v>71</v>
      </c>
      <c r="C185" s="55" t="s">
        <v>72</v>
      </c>
      <c r="D185" s="18"/>
      <c r="E185" s="18"/>
      <c r="F185" s="19"/>
      <c r="G185" s="55" t="s">
        <v>73</v>
      </c>
      <c r="H185" s="18"/>
      <c r="I185" s="18"/>
      <c r="J185" s="19"/>
      <c r="K185" s="55" t="s">
        <v>74</v>
      </c>
      <c r="L185" s="18"/>
      <c r="M185" s="18"/>
      <c r="N185" s="19"/>
      <c r="O185" s="55" t="s">
        <v>75</v>
      </c>
      <c r="P185" s="18"/>
      <c r="Q185" s="19"/>
      <c r="R185" s="55" t="s">
        <v>76</v>
      </c>
      <c r="S185" s="19"/>
      <c r="T185" s="55" t="s">
        <v>77</v>
      </c>
      <c r="U185" s="19"/>
      <c r="V185" s="55" t="s">
        <v>78</v>
      </c>
      <c r="W185" s="19"/>
      <c r="X185" s="55" t="s">
        <v>79</v>
      </c>
      <c r="Y185" s="19"/>
    </row>
    <row r="186" ht="15.75" customHeight="1">
      <c r="A186" s="68">
        <v>1.0</v>
      </c>
      <c r="B186" s="61" t="s">
        <v>288</v>
      </c>
      <c r="C186" s="56" t="s">
        <v>246</v>
      </c>
      <c r="D186" s="18"/>
      <c r="E186" s="18"/>
      <c r="F186" s="19"/>
      <c r="G186" s="56" t="s">
        <v>139</v>
      </c>
      <c r="H186" s="18"/>
      <c r="I186" s="18"/>
      <c r="J186" s="19"/>
      <c r="K186" s="56"/>
      <c r="L186" s="18"/>
      <c r="M186" s="18"/>
      <c r="N186" s="19"/>
      <c r="O186" s="56" t="s">
        <v>83</v>
      </c>
      <c r="P186" s="18"/>
      <c r="Q186" s="19"/>
      <c r="R186" s="56" t="s">
        <v>84</v>
      </c>
      <c r="S186" s="19"/>
      <c r="T186" s="56" t="s">
        <v>84</v>
      </c>
      <c r="U186" s="19"/>
      <c r="V186" s="56"/>
      <c r="W186" s="19"/>
      <c r="X186" s="56"/>
      <c r="Y186" s="19"/>
    </row>
    <row r="187" ht="15.75" customHeight="1">
      <c r="A187" s="68">
        <v>2.0</v>
      </c>
      <c r="B187" s="61" t="s">
        <v>265</v>
      </c>
      <c r="C187" s="56" t="s">
        <v>289</v>
      </c>
      <c r="D187" s="18"/>
      <c r="E187" s="18"/>
      <c r="F187" s="19"/>
      <c r="G187" s="56" t="s">
        <v>139</v>
      </c>
      <c r="H187" s="18"/>
      <c r="I187" s="18"/>
      <c r="J187" s="19"/>
      <c r="K187" s="56"/>
      <c r="L187" s="18"/>
      <c r="M187" s="18"/>
      <c r="N187" s="19"/>
      <c r="O187" s="56" t="s">
        <v>83</v>
      </c>
      <c r="P187" s="18"/>
      <c r="Q187" s="19"/>
      <c r="R187" s="56" t="s">
        <v>84</v>
      </c>
      <c r="S187" s="19"/>
      <c r="T187" s="56" t="s">
        <v>84</v>
      </c>
      <c r="U187" s="19"/>
      <c r="V187" s="56"/>
      <c r="W187" s="19"/>
      <c r="X187" s="56"/>
      <c r="Y187" s="19"/>
    </row>
    <row r="188" ht="15.75" customHeight="1">
      <c r="A188" s="14"/>
      <c r="B188" s="61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5.75" customHeight="1">
      <c r="A189" s="54">
        <v>23.0</v>
      </c>
      <c r="B189" s="55" t="s">
        <v>2</v>
      </c>
      <c r="C189" s="56" t="s">
        <v>290</v>
      </c>
      <c r="D189" s="18"/>
      <c r="E189" s="18"/>
      <c r="F189" s="19"/>
      <c r="G189" s="55" t="s">
        <v>3</v>
      </c>
      <c r="H189" s="18"/>
      <c r="I189" s="18"/>
      <c r="J189" s="19"/>
      <c r="K189" s="39" t="s">
        <v>50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9"/>
      <c r="X189" s="57" t="s">
        <v>70</v>
      </c>
      <c r="Y189" s="58">
        <v>1.0</v>
      </c>
    </row>
    <row r="190" ht="15.75" customHeight="1">
      <c r="A190" s="59" t="s">
        <v>1</v>
      </c>
      <c r="B190" s="57" t="s">
        <v>71</v>
      </c>
      <c r="C190" s="55" t="s">
        <v>72</v>
      </c>
      <c r="D190" s="18"/>
      <c r="E190" s="18"/>
      <c r="F190" s="19"/>
      <c r="G190" s="55" t="s">
        <v>73</v>
      </c>
      <c r="H190" s="18"/>
      <c r="I190" s="18"/>
      <c r="J190" s="19"/>
      <c r="K190" s="55" t="s">
        <v>74</v>
      </c>
      <c r="L190" s="18"/>
      <c r="M190" s="18"/>
      <c r="N190" s="19"/>
      <c r="O190" s="55" t="s">
        <v>75</v>
      </c>
      <c r="P190" s="18"/>
      <c r="Q190" s="19"/>
      <c r="R190" s="55" t="s">
        <v>76</v>
      </c>
      <c r="S190" s="19"/>
      <c r="T190" s="55" t="s">
        <v>77</v>
      </c>
      <c r="U190" s="19"/>
      <c r="V190" s="55" t="s">
        <v>78</v>
      </c>
      <c r="W190" s="19"/>
      <c r="X190" s="55" t="s">
        <v>79</v>
      </c>
      <c r="Y190" s="19"/>
    </row>
    <row r="191" ht="15.75" customHeight="1">
      <c r="A191" s="68">
        <v>1.0</v>
      </c>
      <c r="B191" s="61" t="s">
        <v>288</v>
      </c>
      <c r="C191" s="56" t="s">
        <v>246</v>
      </c>
      <c r="D191" s="18"/>
      <c r="E191" s="18"/>
      <c r="F191" s="19"/>
      <c r="G191" s="65" t="s">
        <v>111</v>
      </c>
      <c r="H191" s="18"/>
      <c r="I191" s="18"/>
      <c r="J191" s="19"/>
      <c r="K191" s="56"/>
      <c r="L191" s="18"/>
      <c r="M191" s="18"/>
      <c r="N191" s="19"/>
      <c r="O191" s="56" t="s">
        <v>83</v>
      </c>
      <c r="P191" s="18"/>
      <c r="Q191" s="19"/>
      <c r="R191" s="56" t="s">
        <v>84</v>
      </c>
      <c r="S191" s="19"/>
      <c r="T191" s="56"/>
      <c r="U191" s="19"/>
      <c r="V191" s="56"/>
      <c r="W191" s="19"/>
      <c r="X191" s="56"/>
      <c r="Y191" s="19"/>
    </row>
    <row r="192" ht="15.75" customHeight="1">
      <c r="A192" s="69">
        <v>2.0</v>
      </c>
      <c r="B192" s="61" t="s">
        <v>250</v>
      </c>
      <c r="C192" s="56" t="s">
        <v>291</v>
      </c>
      <c r="D192" s="18"/>
      <c r="E192" s="18"/>
      <c r="F192" s="19"/>
      <c r="G192" s="56" t="s">
        <v>91</v>
      </c>
      <c r="H192" s="18"/>
      <c r="I192" s="18"/>
      <c r="J192" s="19"/>
      <c r="K192" s="67">
        <v>50.0</v>
      </c>
      <c r="L192" s="18"/>
      <c r="M192" s="18"/>
      <c r="N192" s="19"/>
      <c r="O192" s="56" t="s">
        <v>83</v>
      </c>
      <c r="P192" s="18"/>
      <c r="Q192" s="19"/>
      <c r="R192" s="56"/>
      <c r="S192" s="19"/>
      <c r="T192" s="56" t="s">
        <v>84</v>
      </c>
      <c r="U192" s="19"/>
      <c r="V192" s="56"/>
      <c r="W192" s="19"/>
      <c r="X192" s="56"/>
      <c r="Y192" s="19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ht="15.75" customHeight="1">
      <c r="A194" s="54">
        <v>24.0</v>
      </c>
      <c r="B194" s="55" t="s">
        <v>2</v>
      </c>
      <c r="C194" s="56" t="s">
        <v>51</v>
      </c>
      <c r="D194" s="18"/>
      <c r="E194" s="18"/>
      <c r="F194" s="19"/>
      <c r="G194" s="55" t="s">
        <v>3</v>
      </c>
      <c r="H194" s="18"/>
      <c r="I194" s="18"/>
      <c r="J194" s="19"/>
      <c r="K194" s="39" t="s">
        <v>52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9"/>
      <c r="X194" s="57" t="s">
        <v>70</v>
      </c>
      <c r="Y194" s="58">
        <v>1.0</v>
      </c>
    </row>
    <row r="195" ht="15.75" customHeight="1">
      <c r="A195" s="59" t="s">
        <v>1</v>
      </c>
      <c r="B195" s="57" t="s">
        <v>71</v>
      </c>
      <c r="C195" s="55" t="s">
        <v>72</v>
      </c>
      <c r="D195" s="18"/>
      <c r="E195" s="18"/>
      <c r="F195" s="19"/>
      <c r="G195" s="55" t="s">
        <v>73</v>
      </c>
      <c r="H195" s="18"/>
      <c r="I195" s="18"/>
      <c r="J195" s="19"/>
      <c r="K195" s="55" t="s">
        <v>74</v>
      </c>
      <c r="L195" s="18"/>
      <c r="M195" s="18"/>
      <c r="N195" s="19"/>
      <c r="O195" s="55" t="s">
        <v>75</v>
      </c>
      <c r="P195" s="18"/>
      <c r="Q195" s="19"/>
      <c r="R195" s="55" t="s">
        <v>76</v>
      </c>
      <c r="S195" s="19"/>
      <c r="T195" s="55" t="s">
        <v>77</v>
      </c>
      <c r="U195" s="19"/>
      <c r="V195" s="55" t="s">
        <v>78</v>
      </c>
      <c r="W195" s="19"/>
      <c r="X195" s="55" t="s">
        <v>79</v>
      </c>
      <c r="Y195" s="19"/>
    </row>
    <row r="196" ht="15.75" customHeight="1">
      <c r="A196" s="70">
        <v>1.0</v>
      </c>
      <c r="B196" s="61" t="s">
        <v>292</v>
      </c>
      <c r="C196" s="56" t="s">
        <v>293</v>
      </c>
      <c r="D196" s="18"/>
      <c r="E196" s="18"/>
      <c r="F196" s="19"/>
      <c r="G196" s="65" t="s">
        <v>82</v>
      </c>
      <c r="H196" s="18"/>
      <c r="I196" s="18"/>
      <c r="J196" s="19"/>
      <c r="K196" s="56"/>
      <c r="L196" s="18"/>
      <c r="M196" s="18"/>
      <c r="N196" s="19"/>
      <c r="O196" s="56" t="s">
        <v>83</v>
      </c>
      <c r="P196" s="18"/>
      <c r="Q196" s="19"/>
      <c r="R196" s="56" t="s">
        <v>84</v>
      </c>
      <c r="S196" s="19"/>
      <c r="T196" s="56"/>
      <c r="U196" s="19"/>
      <c r="V196" s="56"/>
      <c r="W196" s="19"/>
      <c r="X196" s="71" t="s">
        <v>294</v>
      </c>
      <c r="Y196" s="30"/>
    </row>
    <row r="197" ht="15.75" customHeight="1">
      <c r="A197" s="70">
        <v>2.0</v>
      </c>
      <c r="B197" s="61" t="s">
        <v>295</v>
      </c>
      <c r="C197" s="56" t="s">
        <v>296</v>
      </c>
      <c r="D197" s="18"/>
      <c r="E197" s="18"/>
      <c r="F197" s="19"/>
      <c r="G197" s="65" t="s">
        <v>82</v>
      </c>
      <c r="H197" s="18"/>
      <c r="I197" s="18"/>
      <c r="J197" s="19"/>
      <c r="K197" s="56"/>
      <c r="L197" s="18"/>
      <c r="M197" s="18"/>
      <c r="N197" s="19"/>
      <c r="O197" s="56" t="s">
        <v>83</v>
      </c>
      <c r="P197" s="18"/>
      <c r="Q197" s="19"/>
      <c r="R197" s="56"/>
      <c r="S197" s="19"/>
      <c r="T197" s="56" t="s">
        <v>84</v>
      </c>
      <c r="U197" s="19"/>
      <c r="V197" s="56"/>
      <c r="W197" s="19"/>
      <c r="X197" s="71"/>
      <c r="Y197" s="30"/>
    </row>
    <row r="198" ht="15.75" customHeight="1">
      <c r="A198" s="70">
        <v>3.0</v>
      </c>
      <c r="B198" s="61" t="s">
        <v>297</v>
      </c>
      <c r="C198" s="56" t="s">
        <v>298</v>
      </c>
      <c r="D198" s="18"/>
      <c r="E198" s="18"/>
      <c r="F198" s="19"/>
      <c r="G198" s="56" t="s">
        <v>91</v>
      </c>
      <c r="H198" s="18"/>
      <c r="I198" s="18"/>
      <c r="J198" s="19"/>
      <c r="K198" s="67">
        <v>100.0</v>
      </c>
      <c r="L198" s="18"/>
      <c r="M198" s="18"/>
      <c r="N198" s="19"/>
      <c r="O198" s="56" t="s">
        <v>83</v>
      </c>
      <c r="P198" s="18"/>
      <c r="Q198" s="19"/>
      <c r="R198" s="56"/>
      <c r="S198" s="19"/>
      <c r="T198" s="56"/>
      <c r="U198" s="19"/>
      <c r="V198" s="56"/>
      <c r="W198" s="19"/>
      <c r="X198" s="71"/>
      <c r="Y198" s="30"/>
    </row>
    <row r="199" ht="15.75" customHeight="1">
      <c r="A199" s="72">
        <v>4.0</v>
      </c>
      <c r="B199" s="61" t="s">
        <v>299</v>
      </c>
      <c r="C199" s="56" t="s">
        <v>300</v>
      </c>
      <c r="D199" s="18"/>
      <c r="E199" s="18"/>
      <c r="F199" s="19"/>
      <c r="G199" s="56" t="s">
        <v>212</v>
      </c>
      <c r="H199" s="18"/>
      <c r="I199" s="18"/>
      <c r="J199" s="19"/>
      <c r="K199" s="56"/>
      <c r="L199" s="18"/>
      <c r="M199" s="18"/>
      <c r="N199" s="19"/>
      <c r="O199" s="56" t="s">
        <v>83</v>
      </c>
      <c r="P199" s="18"/>
      <c r="Q199" s="19"/>
      <c r="R199" s="56"/>
      <c r="S199" s="19"/>
      <c r="T199" s="56"/>
      <c r="U199" s="19"/>
      <c r="V199" s="56"/>
      <c r="W199" s="19"/>
      <c r="X199" s="71"/>
      <c r="Y199" s="30"/>
    </row>
    <row r="200" ht="15.75" customHeight="1">
      <c r="A200" s="70">
        <v>5.0</v>
      </c>
      <c r="B200" s="61" t="s">
        <v>301</v>
      </c>
      <c r="C200" s="56" t="s">
        <v>302</v>
      </c>
      <c r="D200" s="18"/>
      <c r="E200" s="18"/>
      <c r="F200" s="19"/>
      <c r="G200" s="56" t="s">
        <v>148</v>
      </c>
      <c r="H200" s="18"/>
      <c r="I200" s="18"/>
      <c r="J200" s="19"/>
      <c r="K200" s="56"/>
      <c r="L200" s="18"/>
      <c r="M200" s="18"/>
      <c r="N200" s="19"/>
      <c r="O200" s="56" t="s">
        <v>117</v>
      </c>
      <c r="P200" s="18"/>
      <c r="Q200" s="19"/>
      <c r="R200" s="56"/>
      <c r="S200" s="19"/>
      <c r="T200" s="56"/>
      <c r="U200" s="19"/>
      <c r="V200" s="56"/>
      <c r="W200" s="19"/>
      <c r="X200" s="71"/>
      <c r="Y200" s="30"/>
    </row>
    <row r="201" ht="15.75" customHeight="1">
      <c r="A201" s="70">
        <v>6.0</v>
      </c>
      <c r="B201" s="61" t="s">
        <v>303</v>
      </c>
      <c r="C201" s="56" t="s">
        <v>304</v>
      </c>
      <c r="D201" s="18"/>
      <c r="E201" s="18"/>
      <c r="F201" s="19"/>
      <c r="G201" s="56" t="s">
        <v>133</v>
      </c>
      <c r="H201" s="18"/>
      <c r="I201" s="18"/>
      <c r="J201" s="19"/>
      <c r="K201" s="56"/>
      <c r="L201" s="18"/>
      <c r="M201" s="18"/>
      <c r="N201" s="19"/>
      <c r="O201" s="56" t="s">
        <v>83</v>
      </c>
      <c r="P201" s="18"/>
      <c r="Q201" s="19"/>
      <c r="R201" s="56"/>
      <c r="S201" s="19"/>
      <c r="T201" s="56"/>
      <c r="U201" s="19"/>
      <c r="V201" s="56"/>
      <c r="W201" s="19"/>
      <c r="X201" s="71"/>
      <c r="Y201" s="30"/>
    </row>
    <row r="202" ht="15.75" customHeight="1">
      <c r="A202" s="70">
        <v>7.0</v>
      </c>
      <c r="B202" s="61" t="s">
        <v>305</v>
      </c>
      <c r="C202" s="56" t="s">
        <v>306</v>
      </c>
      <c r="D202" s="18"/>
      <c r="E202" s="18"/>
      <c r="F202" s="19"/>
      <c r="G202" s="56" t="s">
        <v>133</v>
      </c>
      <c r="H202" s="18"/>
      <c r="I202" s="18"/>
      <c r="J202" s="19"/>
      <c r="K202" s="56"/>
      <c r="L202" s="18"/>
      <c r="M202" s="18"/>
      <c r="N202" s="19"/>
      <c r="O202" s="56" t="s">
        <v>83</v>
      </c>
      <c r="P202" s="18"/>
      <c r="Q202" s="19"/>
      <c r="R202" s="56"/>
      <c r="S202" s="19"/>
      <c r="T202" s="56"/>
      <c r="U202" s="19"/>
      <c r="V202" s="56"/>
      <c r="W202" s="19"/>
      <c r="X202" s="71"/>
      <c r="Y202" s="30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15.75" customHeight="1">
      <c r="A204" s="54">
        <v>25.0</v>
      </c>
      <c r="B204" s="55" t="s">
        <v>2</v>
      </c>
      <c r="C204" s="56" t="s">
        <v>53</v>
      </c>
      <c r="D204" s="18"/>
      <c r="E204" s="18"/>
      <c r="F204" s="19"/>
      <c r="G204" s="55" t="s">
        <v>3</v>
      </c>
      <c r="H204" s="18"/>
      <c r="I204" s="18"/>
      <c r="J204" s="19"/>
      <c r="K204" s="39" t="s">
        <v>54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9"/>
      <c r="X204" s="57" t="s">
        <v>70</v>
      </c>
      <c r="Y204" s="61"/>
    </row>
    <row r="205" ht="15.75" customHeight="1">
      <c r="A205" s="59" t="s">
        <v>1</v>
      </c>
      <c r="B205" s="57" t="s">
        <v>71</v>
      </c>
      <c r="C205" s="55" t="s">
        <v>72</v>
      </c>
      <c r="D205" s="18"/>
      <c r="E205" s="18"/>
      <c r="F205" s="19"/>
      <c r="G205" s="55" t="s">
        <v>73</v>
      </c>
      <c r="H205" s="18"/>
      <c r="I205" s="18"/>
      <c r="J205" s="19"/>
      <c r="K205" s="55" t="s">
        <v>74</v>
      </c>
      <c r="L205" s="18"/>
      <c r="M205" s="18"/>
      <c r="N205" s="19"/>
      <c r="O205" s="55" t="s">
        <v>75</v>
      </c>
      <c r="P205" s="18"/>
      <c r="Q205" s="19"/>
      <c r="R205" s="55" t="s">
        <v>76</v>
      </c>
      <c r="S205" s="19"/>
      <c r="T205" s="55" t="s">
        <v>77</v>
      </c>
      <c r="U205" s="19"/>
      <c r="V205" s="55" t="s">
        <v>78</v>
      </c>
      <c r="W205" s="19"/>
      <c r="X205" s="55" t="s">
        <v>79</v>
      </c>
      <c r="Y205" s="19"/>
    </row>
    <row r="206" ht="15.75" customHeight="1">
      <c r="A206" s="68">
        <v>1.0</v>
      </c>
      <c r="B206" s="73" t="s">
        <v>307</v>
      </c>
      <c r="C206" s="56" t="s">
        <v>308</v>
      </c>
      <c r="D206" s="18"/>
      <c r="E206" s="18"/>
      <c r="F206" s="19"/>
      <c r="G206" s="56" t="s">
        <v>111</v>
      </c>
      <c r="H206" s="18"/>
      <c r="I206" s="18"/>
      <c r="J206" s="19"/>
      <c r="K206" s="56"/>
      <c r="L206" s="18"/>
      <c r="M206" s="18"/>
      <c r="N206" s="19"/>
      <c r="O206" s="56" t="s">
        <v>83</v>
      </c>
      <c r="P206" s="18"/>
      <c r="Q206" s="19"/>
      <c r="R206" s="56" t="s">
        <v>84</v>
      </c>
      <c r="S206" s="19"/>
      <c r="T206" s="56"/>
      <c r="U206" s="19"/>
      <c r="V206" s="56"/>
      <c r="W206" s="19"/>
      <c r="X206" s="56" t="s">
        <v>309</v>
      </c>
      <c r="Y206" s="19"/>
    </row>
    <row r="207" ht="15.75" customHeight="1">
      <c r="A207" s="68">
        <v>2.0</v>
      </c>
      <c r="B207" s="74" t="s">
        <v>292</v>
      </c>
      <c r="C207" s="56" t="s">
        <v>310</v>
      </c>
      <c r="D207" s="18"/>
      <c r="E207" s="18"/>
      <c r="F207" s="19"/>
      <c r="G207" s="65" t="s">
        <v>82</v>
      </c>
      <c r="H207" s="18"/>
      <c r="I207" s="18"/>
      <c r="J207" s="19"/>
      <c r="K207" s="56"/>
      <c r="L207" s="18"/>
      <c r="M207" s="18"/>
      <c r="N207" s="19"/>
      <c r="O207" s="56" t="s">
        <v>83</v>
      </c>
      <c r="P207" s="18"/>
      <c r="Q207" s="19"/>
      <c r="R207" s="56"/>
      <c r="S207" s="19"/>
      <c r="T207" s="56" t="s">
        <v>84</v>
      </c>
      <c r="U207" s="19"/>
      <c r="V207" s="56"/>
      <c r="W207" s="19"/>
      <c r="X207" s="56" t="s">
        <v>311</v>
      </c>
      <c r="Y207" s="19"/>
    </row>
    <row r="208" ht="15.75" customHeight="1">
      <c r="A208" s="69">
        <v>3.0</v>
      </c>
      <c r="B208" s="73" t="s">
        <v>312</v>
      </c>
      <c r="C208" s="56" t="s">
        <v>313</v>
      </c>
      <c r="D208" s="18"/>
      <c r="E208" s="18"/>
      <c r="F208" s="19"/>
      <c r="G208" s="65" t="s">
        <v>212</v>
      </c>
      <c r="H208" s="18"/>
      <c r="I208" s="18"/>
      <c r="J208" s="19"/>
      <c r="K208" s="67">
        <v>250.0</v>
      </c>
      <c r="L208" s="18"/>
      <c r="M208" s="18"/>
      <c r="N208" s="19"/>
      <c r="O208" s="56" t="s">
        <v>83</v>
      </c>
      <c r="P208" s="18"/>
      <c r="Q208" s="19"/>
      <c r="R208" s="56"/>
      <c r="S208" s="19"/>
      <c r="T208" s="56"/>
      <c r="U208" s="19"/>
      <c r="V208" s="56"/>
      <c r="W208" s="19"/>
      <c r="X208" s="56"/>
      <c r="Y208" s="19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ht="15.75" customHeight="1">
      <c r="A210" s="54">
        <v>26.0</v>
      </c>
      <c r="B210" s="55" t="s">
        <v>2</v>
      </c>
      <c r="C210" s="56" t="s">
        <v>55</v>
      </c>
      <c r="D210" s="18"/>
      <c r="E210" s="18"/>
      <c r="F210" s="19"/>
      <c r="G210" s="55" t="s">
        <v>3</v>
      </c>
      <c r="H210" s="18"/>
      <c r="I210" s="18"/>
      <c r="J210" s="19"/>
      <c r="K210" s="39" t="s">
        <v>56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9"/>
      <c r="X210" s="57" t="s">
        <v>70</v>
      </c>
      <c r="Y210" s="58">
        <v>1.0</v>
      </c>
    </row>
    <row r="211" ht="15.75" customHeight="1">
      <c r="A211" s="59" t="s">
        <v>1</v>
      </c>
      <c r="B211" s="57" t="s">
        <v>71</v>
      </c>
      <c r="C211" s="55" t="s">
        <v>72</v>
      </c>
      <c r="D211" s="18"/>
      <c r="E211" s="18"/>
      <c r="F211" s="19"/>
      <c r="G211" s="55" t="s">
        <v>73</v>
      </c>
      <c r="H211" s="18"/>
      <c r="I211" s="18"/>
      <c r="J211" s="19"/>
      <c r="K211" s="55" t="s">
        <v>74</v>
      </c>
      <c r="L211" s="18"/>
      <c r="M211" s="18"/>
      <c r="N211" s="19"/>
      <c r="O211" s="55" t="s">
        <v>75</v>
      </c>
      <c r="P211" s="18"/>
      <c r="Q211" s="19"/>
      <c r="R211" s="55" t="s">
        <v>76</v>
      </c>
      <c r="S211" s="19"/>
      <c r="T211" s="55" t="s">
        <v>77</v>
      </c>
      <c r="U211" s="19"/>
      <c r="V211" s="55" t="s">
        <v>78</v>
      </c>
      <c r="W211" s="19"/>
      <c r="X211" s="55" t="s">
        <v>79</v>
      </c>
      <c r="Y211" s="19"/>
    </row>
    <row r="212" ht="15.75" customHeight="1">
      <c r="A212" s="60">
        <v>1.0</v>
      </c>
      <c r="B212" s="61" t="s">
        <v>314</v>
      </c>
      <c r="C212" s="56" t="s">
        <v>315</v>
      </c>
      <c r="D212" s="18"/>
      <c r="E212" s="18"/>
      <c r="F212" s="19"/>
      <c r="G212" s="56" t="s">
        <v>111</v>
      </c>
      <c r="H212" s="18"/>
      <c r="I212" s="18"/>
      <c r="J212" s="19"/>
      <c r="K212" s="56"/>
      <c r="L212" s="18"/>
      <c r="M212" s="18"/>
      <c r="N212" s="19"/>
      <c r="O212" s="56" t="s">
        <v>83</v>
      </c>
      <c r="P212" s="18"/>
      <c r="Q212" s="19"/>
      <c r="R212" s="56" t="s">
        <v>84</v>
      </c>
      <c r="S212" s="19"/>
      <c r="T212" s="56"/>
      <c r="U212" s="19"/>
      <c r="V212" s="56"/>
      <c r="W212" s="19"/>
      <c r="X212" s="56" t="s">
        <v>229</v>
      </c>
      <c r="Y212" s="19"/>
    </row>
    <row r="213" ht="15.75" customHeight="1">
      <c r="A213" s="60">
        <v>2.0</v>
      </c>
      <c r="B213" s="61" t="s">
        <v>316</v>
      </c>
      <c r="C213" s="56" t="s">
        <v>317</v>
      </c>
      <c r="D213" s="18"/>
      <c r="E213" s="18"/>
      <c r="F213" s="19"/>
      <c r="G213" s="65" t="s">
        <v>139</v>
      </c>
      <c r="H213" s="18"/>
      <c r="I213" s="18"/>
      <c r="J213" s="19"/>
      <c r="K213" s="56"/>
      <c r="L213" s="18"/>
      <c r="M213" s="18"/>
      <c r="N213" s="19"/>
      <c r="O213" s="56" t="s">
        <v>83</v>
      </c>
      <c r="P213" s="18"/>
      <c r="Q213" s="19"/>
      <c r="R213" s="56"/>
      <c r="S213" s="19"/>
      <c r="T213" s="56" t="s">
        <v>84</v>
      </c>
      <c r="U213" s="19"/>
      <c r="V213" s="56"/>
      <c r="W213" s="19"/>
      <c r="X213" s="56" t="s">
        <v>318</v>
      </c>
      <c r="Y213" s="19"/>
    </row>
    <row r="214" ht="15.75" customHeight="1">
      <c r="A214" s="60">
        <v>3.0</v>
      </c>
      <c r="B214" s="61" t="s">
        <v>319</v>
      </c>
      <c r="C214" s="56" t="s">
        <v>320</v>
      </c>
      <c r="D214" s="18"/>
      <c r="E214" s="18"/>
      <c r="F214" s="19"/>
      <c r="G214" s="65" t="s">
        <v>82</v>
      </c>
      <c r="H214" s="18"/>
      <c r="I214" s="18"/>
      <c r="J214" s="19"/>
      <c r="K214" s="56"/>
      <c r="L214" s="18"/>
      <c r="M214" s="18"/>
      <c r="N214" s="19"/>
      <c r="O214" s="56" t="s">
        <v>83</v>
      </c>
      <c r="P214" s="18"/>
      <c r="Q214" s="19"/>
      <c r="R214" s="56"/>
      <c r="S214" s="19"/>
      <c r="T214" s="56" t="s">
        <v>84</v>
      </c>
      <c r="U214" s="19"/>
      <c r="V214" s="56"/>
      <c r="W214" s="19"/>
      <c r="X214" s="56" t="s">
        <v>232</v>
      </c>
      <c r="Y214" s="19"/>
    </row>
    <row r="215" ht="15.75" customHeight="1">
      <c r="A215" s="60">
        <v>4.0</v>
      </c>
      <c r="B215" s="61" t="s">
        <v>321</v>
      </c>
      <c r="C215" s="56" t="s">
        <v>322</v>
      </c>
      <c r="D215" s="18"/>
      <c r="E215" s="18"/>
      <c r="F215" s="19"/>
      <c r="G215" s="65" t="s">
        <v>139</v>
      </c>
      <c r="H215" s="18"/>
      <c r="I215" s="18"/>
      <c r="J215" s="19"/>
      <c r="K215" s="56"/>
      <c r="L215" s="18"/>
      <c r="M215" s="18"/>
      <c r="N215" s="19"/>
      <c r="O215" s="56" t="s">
        <v>83</v>
      </c>
      <c r="P215" s="18"/>
      <c r="Q215" s="19"/>
      <c r="R215" s="56"/>
      <c r="S215" s="19"/>
      <c r="T215" s="56" t="s">
        <v>84</v>
      </c>
      <c r="U215" s="19"/>
      <c r="V215" s="56"/>
      <c r="W215" s="19"/>
      <c r="X215" s="56" t="s">
        <v>323</v>
      </c>
      <c r="Y215" s="19"/>
    </row>
    <row r="216" ht="15.75" customHeight="1">
      <c r="A216" s="60">
        <v>5.0</v>
      </c>
      <c r="B216" s="61" t="s">
        <v>324</v>
      </c>
      <c r="C216" s="56" t="s">
        <v>325</v>
      </c>
      <c r="D216" s="18"/>
      <c r="E216" s="18"/>
      <c r="F216" s="19"/>
      <c r="G216" s="56" t="s">
        <v>91</v>
      </c>
      <c r="H216" s="18"/>
      <c r="I216" s="18"/>
      <c r="J216" s="19"/>
      <c r="K216" s="67">
        <v>500.0</v>
      </c>
      <c r="L216" s="18"/>
      <c r="M216" s="18"/>
      <c r="N216" s="19"/>
      <c r="O216" s="56" t="s">
        <v>83</v>
      </c>
      <c r="P216" s="18"/>
      <c r="Q216" s="19"/>
      <c r="R216" s="56"/>
      <c r="S216" s="19"/>
      <c r="T216" s="56"/>
      <c r="U216" s="19"/>
      <c r="V216" s="56"/>
      <c r="W216" s="19"/>
      <c r="X216" s="56" t="s">
        <v>326</v>
      </c>
      <c r="Y216" s="19"/>
    </row>
    <row r="217" ht="15.75" customHeight="1">
      <c r="A217" s="60">
        <v>6.0</v>
      </c>
      <c r="B217" s="61" t="s">
        <v>327</v>
      </c>
      <c r="C217" s="56" t="s">
        <v>328</v>
      </c>
      <c r="D217" s="18"/>
      <c r="E217" s="18"/>
      <c r="F217" s="19"/>
      <c r="G217" s="56" t="s">
        <v>329</v>
      </c>
      <c r="H217" s="18"/>
      <c r="I217" s="18"/>
      <c r="J217" s="19"/>
      <c r="K217" s="56"/>
      <c r="L217" s="18"/>
      <c r="M217" s="18"/>
      <c r="N217" s="19"/>
      <c r="O217" s="56" t="s">
        <v>117</v>
      </c>
      <c r="P217" s="18"/>
      <c r="Q217" s="19"/>
      <c r="R217" s="56"/>
      <c r="S217" s="19"/>
      <c r="T217" s="56"/>
      <c r="U217" s="19"/>
      <c r="V217" s="56"/>
      <c r="W217" s="19"/>
      <c r="X217" s="56" t="s">
        <v>330</v>
      </c>
      <c r="Y217" s="19"/>
    </row>
    <row r="218" ht="15.75" customHeight="1">
      <c r="A218" s="60">
        <v>7.0</v>
      </c>
      <c r="B218" s="61" t="s">
        <v>331</v>
      </c>
      <c r="C218" s="56" t="s">
        <v>332</v>
      </c>
      <c r="D218" s="18"/>
      <c r="E218" s="18"/>
      <c r="F218" s="19"/>
      <c r="G218" s="56" t="s">
        <v>148</v>
      </c>
      <c r="H218" s="18"/>
      <c r="I218" s="18"/>
      <c r="J218" s="19"/>
      <c r="K218" s="56"/>
      <c r="L218" s="18"/>
      <c r="M218" s="18"/>
      <c r="N218" s="19"/>
      <c r="O218" s="56" t="s">
        <v>83</v>
      </c>
      <c r="P218" s="18"/>
      <c r="Q218" s="19"/>
      <c r="R218" s="56"/>
      <c r="S218" s="19"/>
      <c r="T218" s="56"/>
      <c r="U218" s="19"/>
      <c r="V218" s="56"/>
      <c r="W218" s="19"/>
      <c r="X218" s="56" t="s">
        <v>333</v>
      </c>
      <c r="Y218" s="19"/>
    </row>
    <row r="219" ht="15.75" customHeight="1">
      <c r="A219" s="60">
        <v>8.0</v>
      </c>
      <c r="B219" s="75" t="s">
        <v>214</v>
      </c>
      <c r="C219" s="39" t="s">
        <v>334</v>
      </c>
      <c r="D219" s="18"/>
      <c r="E219" s="18"/>
      <c r="F219" s="19"/>
      <c r="G219" s="56" t="s">
        <v>133</v>
      </c>
      <c r="H219" s="18"/>
      <c r="I219" s="18"/>
      <c r="J219" s="19"/>
      <c r="K219" s="56"/>
      <c r="L219" s="18"/>
      <c r="M219" s="18"/>
      <c r="N219" s="19"/>
      <c r="O219" s="56" t="s">
        <v>83</v>
      </c>
      <c r="P219" s="18"/>
      <c r="Q219" s="19"/>
      <c r="R219" s="56"/>
      <c r="S219" s="19"/>
      <c r="T219" s="56"/>
      <c r="U219" s="19"/>
      <c r="V219" s="56"/>
      <c r="W219" s="19"/>
      <c r="X219" s="56" t="s">
        <v>335</v>
      </c>
      <c r="Y219" s="19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5.75" customHeight="1">
      <c r="A222" s="54">
        <v>27.0</v>
      </c>
      <c r="B222" s="55" t="s">
        <v>327</v>
      </c>
      <c r="C222" s="56" t="s">
        <v>57</v>
      </c>
      <c r="D222" s="18"/>
      <c r="E222" s="18"/>
      <c r="F222" s="19"/>
      <c r="G222" s="55" t="s">
        <v>3</v>
      </c>
      <c r="H222" s="18"/>
      <c r="I222" s="18"/>
      <c r="J222" s="19"/>
      <c r="K222" s="39" t="s">
        <v>58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9"/>
      <c r="X222" s="57" t="s">
        <v>70</v>
      </c>
      <c r="Y222" s="58">
        <v>1.0</v>
      </c>
    </row>
    <row r="223" ht="15.75" customHeight="1">
      <c r="A223" s="59" t="s">
        <v>1</v>
      </c>
      <c r="B223" s="57" t="s">
        <v>331</v>
      </c>
      <c r="C223" s="55" t="s">
        <v>72</v>
      </c>
      <c r="D223" s="18"/>
      <c r="E223" s="18"/>
      <c r="F223" s="19"/>
      <c r="G223" s="55" t="s">
        <v>73</v>
      </c>
      <c r="H223" s="18"/>
      <c r="I223" s="18"/>
      <c r="J223" s="19"/>
      <c r="K223" s="55" t="s">
        <v>74</v>
      </c>
      <c r="L223" s="18"/>
      <c r="M223" s="18"/>
      <c r="N223" s="19"/>
      <c r="O223" s="55" t="s">
        <v>75</v>
      </c>
      <c r="P223" s="18"/>
      <c r="Q223" s="19"/>
      <c r="R223" s="55" t="s">
        <v>76</v>
      </c>
      <c r="S223" s="19"/>
      <c r="T223" s="55" t="s">
        <v>77</v>
      </c>
      <c r="U223" s="19"/>
      <c r="V223" s="55" t="s">
        <v>78</v>
      </c>
      <c r="W223" s="19"/>
      <c r="X223" s="55" t="s">
        <v>79</v>
      </c>
      <c r="Y223" s="19"/>
    </row>
    <row r="224" ht="15.75" customHeight="1">
      <c r="A224" s="60">
        <v>1.0</v>
      </c>
      <c r="B224" s="61" t="s">
        <v>316</v>
      </c>
      <c r="C224" s="56" t="s">
        <v>336</v>
      </c>
      <c r="D224" s="18"/>
      <c r="E224" s="18"/>
      <c r="F224" s="19"/>
      <c r="G224" s="65" t="s">
        <v>111</v>
      </c>
      <c r="H224" s="18"/>
      <c r="I224" s="18"/>
      <c r="J224" s="19"/>
      <c r="K224" s="56"/>
      <c r="L224" s="18"/>
      <c r="M224" s="18"/>
      <c r="N224" s="19"/>
      <c r="O224" s="56" t="s">
        <v>83</v>
      </c>
      <c r="P224" s="18"/>
      <c r="Q224" s="19"/>
      <c r="R224" s="56" t="s">
        <v>84</v>
      </c>
      <c r="S224" s="19"/>
      <c r="T224" s="56"/>
      <c r="U224" s="19"/>
      <c r="V224" s="56"/>
      <c r="W224" s="19"/>
      <c r="X224" s="56"/>
      <c r="Y224" s="19"/>
    </row>
    <row r="225" ht="15.75" customHeight="1">
      <c r="A225" s="60">
        <v>2.0</v>
      </c>
      <c r="B225" s="61" t="s">
        <v>250</v>
      </c>
      <c r="C225" s="56" t="s">
        <v>337</v>
      </c>
      <c r="D225" s="18"/>
      <c r="E225" s="18"/>
      <c r="F225" s="19"/>
      <c r="G225" s="56" t="s">
        <v>91</v>
      </c>
      <c r="H225" s="18"/>
      <c r="I225" s="18"/>
      <c r="J225" s="19"/>
      <c r="K225" s="67">
        <v>50.0</v>
      </c>
      <c r="L225" s="18"/>
      <c r="M225" s="18"/>
      <c r="N225" s="19"/>
      <c r="O225" s="56" t="s">
        <v>83</v>
      </c>
      <c r="P225" s="18"/>
      <c r="Q225" s="19"/>
      <c r="R225" s="56"/>
      <c r="S225" s="19"/>
      <c r="T225" s="56"/>
      <c r="U225" s="19"/>
      <c r="V225" s="56"/>
      <c r="W225" s="19"/>
      <c r="X225" s="56"/>
      <c r="Y225" s="19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5.75" customHeight="1">
      <c r="A227" s="54">
        <v>28.0</v>
      </c>
      <c r="B227" s="55" t="s">
        <v>2</v>
      </c>
      <c r="C227" s="56" t="s">
        <v>59</v>
      </c>
      <c r="D227" s="18"/>
      <c r="E227" s="18"/>
      <c r="F227" s="19"/>
      <c r="G227" s="55" t="s">
        <v>3</v>
      </c>
      <c r="H227" s="18"/>
      <c r="I227" s="18"/>
      <c r="J227" s="19"/>
      <c r="K227" s="39" t="s">
        <v>60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9"/>
      <c r="X227" s="57" t="s">
        <v>70</v>
      </c>
      <c r="Y227" s="58">
        <v>1.0</v>
      </c>
    </row>
    <row r="228" ht="15.75" customHeight="1">
      <c r="A228" s="59" t="s">
        <v>1</v>
      </c>
      <c r="B228" s="57" t="s">
        <v>71</v>
      </c>
      <c r="C228" s="55" t="s">
        <v>72</v>
      </c>
      <c r="D228" s="18"/>
      <c r="E228" s="18"/>
      <c r="F228" s="19"/>
      <c r="G228" s="55" t="s">
        <v>73</v>
      </c>
      <c r="H228" s="18"/>
      <c r="I228" s="18"/>
      <c r="J228" s="19"/>
      <c r="K228" s="55" t="s">
        <v>74</v>
      </c>
      <c r="L228" s="18"/>
      <c r="M228" s="18"/>
      <c r="N228" s="19"/>
      <c r="O228" s="55" t="s">
        <v>75</v>
      </c>
      <c r="P228" s="18"/>
      <c r="Q228" s="19"/>
      <c r="R228" s="55" t="s">
        <v>76</v>
      </c>
      <c r="S228" s="19"/>
      <c r="T228" s="55" t="s">
        <v>77</v>
      </c>
      <c r="U228" s="19"/>
      <c r="V228" s="55" t="s">
        <v>78</v>
      </c>
      <c r="W228" s="19"/>
      <c r="X228" s="55" t="s">
        <v>79</v>
      </c>
      <c r="Y228" s="19"/>
    </row>
    <row r="229" ht="15.75" customHeight="1">
      <c r="A229" s="60">
        <v>1.0</v>
      </c>
      <c r="B229" s="61" t="s">
        <v>321</v>
      </c>
      <c r="C229" s="56" t="s">
        <v>338</v>
      </c>
      <c r="D229" s="18"/>
      <c r="E229" s="18"/>
      <c r="F229" s="19"/>
      <c r="G229" s="65" t="s">
        <v>111</v>
      </c>
      <c r="H229" s="18"/>
      <c r="I229" s="18"/>
      <c r="J229" s="19"/>
      <c r="K229" s="56"/>
      <c r="L229" s="18"/>
      <c r="M229" s="18"/>
      <c r="N229" s="19"/>
      <c r="O229" s="56" t="s">
        <v>83</v>
      </c>
      <c r="P229" s="18"/>
      <c r="Q229" s="19"/>
      <c r="R229" s="56" t="s">
        <v>84</v>
      </c>
      <c r="S229" s="19"/>
      <c r="T229" s="56"/>
      <c r="U229" s="19"/>
      <c r="V229" s="56"/>
      <c r="W229" s="19"/>
      <c r="X229" s="56"/>
      <c r="Y229" s="19"/>
    </row>
    <row r="230" ht="15.75" customHeight="1">
      <c r="A230" s="60">
        <v>2.0</v>
      </c>
      <c r="B230" s="61" t="s">
        <v>218</v>
      </c>
      <c r="C230" s="56" t="s">
        <v>339</v>
      </c>
      <c r="D230" s="18"/>
      <c r="E230" s="18"/>
      <c r="F230" s="19"/>
      <c r="G230" s="56" t="s">
        <v>91</v>
      </c>
      <c r="H230" s="18"/>
      <c r="I230" s="18"/>
      <c r="J230" s="19"/>
      <c r="K230" s="67">
        <v>30.0</v>
      </c>
      <c r="L230" s="18"/>
      <c r="M230" s="18"/>
      <c r="N230" s="19"/>
      <c r="O230" s="56" t="s">
        <v>83</v>
      </c>
      <c r="P230" s="18"/>
      <c r="Q230" s="19"/>
      <c r="R230" s="56"/>
      <c r="S230" s="19"/>
      <c r="T230" s="56"/>
      <c r="U230" s="19"/>
      <c r="V230" s="56" t="s">
        <v>84</v>
      </c>
      <c r="W230" s="19"/>
      <c r="X230" s="56"/>
      <c r="Y230" s="19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ht="15.75" customHeight="1">
      <c r="A232" s="54">
        <v>29.0</v>
      </c>
      <c r="B232" s="55" t="s">
        <v>2</v>
      </c>
      <c r="C232" s="56" t="s">
        <v>61</v>
      </c>
      <c r="D232" s="18"/>
      <c r="E232" s="18"/>
      <c r="F232" s="19"/>
      <c r="G232" s="55" t="s">
        <v>3</v>
      </c>
      <c r="H232" s="18"/>
      <c r="I232" s="18"/>
      <c r="J232" s="19"/>
      <c r="K232" s="39" t="s">
        <v>62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9"/>
      <c r="X232" s="57" t="s">
        <v>70</v>
      </c>
      <c r="Y232" s="58">
        <v>1.0</v>
      </c>
    </row>
    <row r="233" ht="15.75" customHeight="1">
      <c r="A233" s="59" t="s">
        <v>1</v>
      </c>
      <c r="B233" s="57" t="s">
        <v>71</v>
      </c>
      <c r="C233" s="55" t="s">
        <v>72</v>
      </c>
      <c r="D233" s="18"/>
      <c r="E233" s="18"/>
      <c r="F233" s="19"/>
      <c r="G233" s="55" t="s">
        <v>73</v>
      </c>
      <c r="H233" s="18"/>
      <c r="I233" s="18"/>
      <c r="J233" s="19"/>
      <c r="K233" s="55" t="s">
        <v>74</v>
      </c>
      <c r="L233" s="18"/>
      <c r="M233" s="18"/>
      <c r="N233" s="19"/>
      <c r="O233" s="55" t="s">
        <v>75</v>
      </c>
      <c r="P233" s="18"/>
      <c r="Q233" s="19"/>
      <c r="R233" s="55" t="s">
        <v>76</v>
      </c>
      <c r="S233" s="19"/>
      <c r="T233" s="55" t="s">
        <v>77</v>
      </c>
      <c r="U233" s="19"/>
      <c r="V233" s="55" t="s">
        <v>78</v>
      </c>
      <c r="W233" s="19"/>
      <c r="X233" s="55" t="s">
        <v>79</v>
      </c>
      <c r="Y233" s="19"/>
    </row>
    <row r="234" ht="15.75" customHeight="1">
      <c r="A234" s="60">
        <v>1.0</v>
      </c>
      <c r="B234" s="61" t="s">
        <v>340</v>
      </c>
      <c r="C234" s="56" t="s">
        <v>341</v>
      </c>
      <c r="D234" s="18"/>
      <c r="E234" s="18"/>
      <c r="F234" s="19"/>
      <c r="G234" s="65" t="s">
        <v>82</v>
      </c>
      <c r="H234" s="18"/>
      <c r="I234" s="18"/>
      <c r="J234" s="19"/>
      <c r="K234" s="56"/>
      <c r="L234" s="18"/>
      <c r="M234" s="18"/>
      <c r="N234" s="19"/>
      <c r="O234" s="56" t="s">
        <v>83</v>
      </c>
      <c r="P234" s="18"/>
      <c r="Q234" s="19"/>
      <c r="R234" s="56" t="s">
        <v>84</v>
      </c>
      <c r="S234" s="19"/>
      <c r="T234" s="56"/>
      <c r="U234" s="19"/>
      <c r="V234" s="56"/>
      <c r="W234" s="19"/>
      <c r="X234" s="56"/>
      <c r="Y234" s="19"/>
    </row>
    <row r="235" ht="15.75" customHeight="1">
      <c r="A235" s="60">
        <v>2.0</v>
      </c>
      <c r="B235" s="61" t="s">
        <v>342</v>
      </c>
      <c r="C235" s="56" t="s">
        <v>343</v>
      </c>
      <c r="D235" s="18"/>
      <c r="E235" s="18"/>
      <c r="F235" s="19"/>
      <c r="G235" s="65" t="s">
        <v>82</v>
      </c>
      <c r="H235" s="18"/>
      <c r="I235" s="18"/>
      <c r="J235" s="19"/>
      <c r="K235" s="56"/>
      <c r="L235" s="18"/>
      <c r="M235" s="18"/>
      <c r="N235" s="19"/>
      <c r="O235" s="56" t="s">
        <v>83</v>
      </c>
      <c r="P235" s="18"/>
      <c r="Q235" s="19"/>
      <c r="R235" s="56"/>
      <c r="S235" s="19"/>
      <c r="T235" s="56" t="s">
        <v>84</v>
      </c>
      <c r="U235" s="19"/>
      <c r="V235" s="56"/>
      <c r="W235" s="19"/>
      <c r="X235" s="56"/>
      <c r="Y235" s="19"/>
    </row>
    <row r="236" ht="15.75" customHeight="1">
      <c r="A236" s="60">
        <v>3.0</v>
      </c>
      <c r="B236" s="61" t="s">
        <v>344</v>
      </c>
      <c r="C236" s="56" t="s">
        <v>345</v>
      </c>
      <c r="D236" s="18"/>
      <c r="E236" s="18"/>
      <c r="F236" s="19"/>
      <c r="G236" s="65" t="s">
        <v>82</v>
      </c>
      <c r="H236" s="18"/>
      <c r="I236" s="18"/>
      <c r="J236" s="19"/>
      <c r="K236" s="56"/>
      <c r="L236" s="18"/>
      <c r="M236" s="18"/>
      <c r="N236" s="19"/>
      <c r="O236" s="56" t="s">
        <v>83</v>
      </c>
      <c r="P236" s="18"/>
      <c r="Q236" s="19"/>
      <c r="R236" s="56"/>
      <c r="S236" s="19"/>
      <c r="T236" s="56" t="s">
        <v>84</v>
      </c>
      <c r="U236" s="19"/>
      <c r="V236" s="56"/>
      <c r="W236" s="19"/>
      <c r="X236" s="56"/>
      <c r="Y236" s="19"/>
    </row>
    <row r="237" ht="15.75" customHeight="1">
      <c r="A237" s="60">
        <v>4.0</v>
      </c>
      <c r="B237" s="61" t="s">
        <v>346</v>
      </c>
      <c r="C237" s="56" t="s">
        <v>347</v>
      </c>
      <c r="D237" s="18"/>
      <c r="E237" s="18"/>
      <c r="F237" s="19"/>
      <c r="G237" s="65" t="s">
        <v>139</v>
      </c>
      <c r="H237" s="18"/>
      <c r="I237" s="18"/>
      <c r="J237" s="19"/>
      <c r="K237" s="56"/>
      <c r="L237" s="18"/>
      <c r="M237" s="18"/>
      <c r="N237" s="19"/>
      <c r="O237" s="56" t="s">
        <v>83</v>
      </c>
      <c r="P237" s="18"/>
      <c r="Q237" s="19"/>
      <c r="R237" s="56"/>
      <c r="S237" s="19"/>
      <c r="T237" s="56" t="s">
        <v>84</v>
      </c>
      <c r="U237" s="19"/>
      <c r="V237" s="56"/>
      <c r="W237" s="19"/>
      <c r="X237" s="56"/>
      <c r="Y237" s="19"/>
    </row>
    <row r="238" ht="15.75" customHeight="1">
      <c r="A238" s="60">
        <v>5.0</v>
      </c>
      <c r="B238" s="61" t="s">
        <v>210</v>
      </c>
      <c r="C238" s="56" t="s">
        <v>211</v>
      </c>
      <c r="D238" s="18"/>
      <c r="E238" s="18"/>
      <c r="F238" s="19"/>
      <c r="G238" s="65" t="s">
        <v>91</v>
      </c>
      <c r="H238" s="18"/>
      <c r="I238" s="18"/>
      <c r="J238" s="19"/>
      <c r="K238" s="56"/>
      <c r="L238" s="18"/>
      <c r="M238" s="18"/>
      <c r="N238" s="19"/>
      <c r="O238" s="56" t="s">
        <v>83</v>
      </c>
      <c r="P238" s="18"/>
      <c r="Q238" s="19"/>
      <c r="R238" s="56"/>
      <c r="S238" s="19"/>
      <c r="T238" s="56"/>
      <c r="U238" s="19"/>
      <c r="V238" s="56"/>
      <c r="W238" s="19"/>
      <c r="X238" s="56"/>
      <c r="Y238" s="19"/>
    </row>
    <row r="239" ht="15.75" customHeight="1">
      <c r="A239" s="60">
        <v>6.0</v>
      </c>
      <c r="B239" s="61" t="s">
        <v>348</v>
      </c>
      <c r="C239" s="56" t="s">
        <v>349</v>
      </c>
      <c r="D239" s="18"/>
      <c r="E239" s="18"/>
      <c r="F239" s="19"/>
      <c r="G239" s="56" t="s">
        <v>98</v>
      </c>
      <c r="H239" s="18"/>
      <c r="I239" s="18"/>
      <c r="J239" s="19"/>
      <c r="K239" s="56"/>
      <c r="L239" s="18"/>
      <c r="M239" s="18"/>
      <c r="N239" s="19"/>
      <c r="O239" s="56" t="s">
        <v>83</v>
      </c>
      <c r="P239" s="18"/>
      <c r="Q239" s="19"/>
      <c r="R239" s="56"/>
      <c r="S239" s="19"/>
      <c r="T239" s="56"/>
      <c r="U239" s="19"/>
      <c r="V239" s="56"/>
      <c r="W239" s="19"/>
      <c r="X239" s="56"/>
      <c r="Y239" s="19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5.75" customHeight="1">
      <c r="A241" s="54">
        <v>30.0</v>
      </c>
      <c r="B241" s="55" t="s">
        <v>2</v>
      </c>
      <c r="C241" s="56" t="s">
        <v>63</v>
      </c>
      <c r="D241" s="18"/>
      <c r="E241" s="18"/>
      <c r="F241" s="19"/>
      <c r="G241" s="55" t="s">
        <v>3</v>
      </c>
      <c r="H241" s="18"/>
      <c r="I241" s="18"/>
      <c r="J241" s="19"/>
      <c r="K241" s="39" t="s">
        <v>64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9"/>
      <c r="X241" s="57" t="s">
        <v>70</v>
      </c>
      <c r="Y241" s="58">
        <v>1.0</v>
      </c>
    </row>
    <row r="242" ht="15.75" customHeight="1">
      <c r="A242" s="59" t="s">
        <v>1</v>
      </c>
      <c r="B242" s="57" t="s">
        <v>71</v>
      </c>
      <c r="C242" s="55" t="s">
        <v>72</v>
      </c>
      <c r="D242" s="18"/>
      <c r="E242" s="18"/>
      <c r="F242" s="19"/>
      <c r="G242" s="55" t="s">
        <v>73</v>
      </c>
      <c r="H242" s="18"/>
      <c r="I242" s="18"/>
      <c r="J242" s="19"/>
      <c r="K242" s="55" t="s">
        <v>74</v>
      </c>
      <c r="L242" s="18"/>
      <c r="M242" s="18"/>
      <c r="N242" s="19"/>
      <c r="O242" s="55" t="s">
        <v>75</v>
      </c>
      <c r="P242" s="18"/>
      <c r="Q242" s="19"/>
      <c r="R242" s="55" t="s">
        <v>76</v>
      </c>
      <c r="S242" s="19"/>
      <c r="T242" s="55" t="s">
        <v>77</v>
      </c>
      <c r="U242" s="19"/>
      <c r="V242" s="55" t="s">
        <v>78</v>
      </c>
      <c r="W242" s="19"/>
      <c r="X242" s="55" t="s">
        <v>79</v>
      </c>
      <c r="Y242" s="19"/>
    </row>
    <row r="243" ht="15.75" customHeight="1">
      <c r="A243" s="60">
        <v>1.0</v>
      </c>
      <c r="B243" s="61" t="s">
        <v>346</v>
      </c>
      <c r="C243" s="56" t="s">
        <v>338</v>
      </c>
      <c r="D243" s="18"/>
      <c r="E243" s="18"/>
      <c r="F243" s="19"/>
      <c r="G243" s="65" t="s">
        <v>111</v>
      </c>
      <c r="H243" s="18"/>
      <c r="I243" s="18"/>
      <c r="J243" s="19"/>
      <c r="K243" s="56"/>
      <c r="L243" s="18"/>
      <c r="M243" s="18"/>
      <c r="N243" s="19"/>
      <c r="O243" s="56" t="s">
        <v>83</v>
      </c>
      <c r="P243" s="18"/>
      <c r="Q243" s="19"/>
      <c r="R243" s="56" t="s">
        <v>84</v>
      </c>
      <c r="S243" s="19"/>
      <c r="T243" s="56"/>
      <c r="U243" s="19"/>
      <c r="V243" s="56"/>
      <c r="W243" s="19"/>
      <c r="X243" s="56"/>
      <c r="Y243" s="19"/>
    </row>
    <row r="244" ht="15.75" customHeight="1">
      <c r="A244" s="60">
        <v>2.0</v>
      </c>
      <c r="B244" s="61" t="s">
        <v>218</v>
      </c>
      <c r="C244" s="56" t="s">
        <v>350</v>
      </c>
      <c r="D244" s="18"/>
      <c r="E244" s="18"/>
      <c r="F244" s="19"/>
      <c r="G244" s="56" t="s">
        <v>91</v>
      </c>
      <c r="H244" s="18"/>
      <c r="I244" s="18"/>
      <c r="J244" s="19"/>
      <c r="K244" s="67">
        <v>20.0</v>
      </c>
      <c r="L244" s="18"/>
      <c r="M244" s="18"/>
      <c r="N244" s="19"/>
      <c r="O244" s="56" t="s">
        <v>83</v>
      </c>
      <c r="P244" s="18"/>
      <c r="Q244" s="19"/>
      <c r="R244" s="56"/>
      <c r="S244" s="19"/>
      <c r="T244" s="56" t="s">
        <v>84</v>
      </c>
      <c r="U244" s="19"/>
      <c r="V244" s="56"/>
      <c r="W244" s="19"/>
      <c r="X244" s="56"/>
      <c r="Y244" s="19"/>
    </row>
    <row r="245" ht="15.75" customHeight="1">
      <c r="A245" s="60">
        <v>3.0</v>
      </c>
      <c r="B245" s="61" t="s">
        <v>351</v>
      </c>
      <c r="C245" s="56" t="s">
        <v>352</v>
      </c>
      <c r="D245" s="18"/>
      <c r="E245" s="18"/>
      <c r="F245" s="19"/>
      <c r="G245" s="56" t="s">
        <v>91</v>
      </c>
      <c r="H245" s="18"/>
      <c r="I245" s="18"/>
      <c r="J245" s="19"/>
      <c r="K245" s="67">
        <v>50.0</v>
      </c>
      <c r="L245" s="18"/>
      <c r="M245" s="18"/>
      <c r="N245" s="19"/>
      <c r="O245" s="56" t="s">
        <v>117</v>
      </c>
      <c r="P245" s="18"/>
      <c r="Q245" s="19"/>
      <c r="R245" s="56"/>
      <c r="S245" s="19"/>
      <c r="T245" s="56"/>
      <c r="U245" s="19"/>
      <c r="V245" s="56"/>
      <c r="W245" s="19"/>
      <c r="X245" s="56"/>
      <c r="Y245" s="19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ht="15.75" customHeight="1">
      <c r="A247" s="54">
        <v>31.0</v>
      </c>
      <c r="B247" s="55" t="s">
        <v>2</v>
      </c>
      <c r="C247" s="56" t="s">
        <v>65</v>
      </c>
      <c r="D247" s="18"/>
      <c r="E247" s="18"/>
      <c r="F247" s="19"/>
      <c r="G247" s="55" t="s">
        <v>3</v>
      </c>
      <c r="H247" s="18"/>
      <c r="I247" s="18"/>
      <c r="J247" s="19"/>
      <c r="K247" s="39" t="s">
        <v>66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9"/>
      <c r="X247" s="57" t="s">
        <v>70</v>
      </c>
      <c r="Y247" s="58">
        <v>1.0</v>
      </c>
    </row>
    <row r="248" ht="15.75" customHeight="1">
      <c r="A248" s="59" t="s">
        <v>1</v>
      </c>
      <c r="B248" s="57" t="s">
        <v>71</v>
      </c>
      <c r="C248" s="55" t="s">
        <v>72</v>
      </c>
      <c r="D248" s="18"/>
      <c r="E248" s="18"/>
      <c r="F248" s="19"/>
      <c r="G248" s="55" t="s">
        <v>73</v>
      </c>
      <c r="H248" s="18"/>
      <c r="I248" s="18"/>
      <c r="J248" s="19"/>
      <c r="K248" s="55" t="s">
        <v>74</v>
      </c>
      <c r="L248" s="18"/>
      <c r="M248" s="18"/>
      <c r="N248" s="19"/>
      <c r="O248" s="55" t="s">
        <v>75</v>
      </c>
      <c r="P248" s="18"/>
      <c r="Q248" s="19"/>
      <c r="R248" s="55" t="s">
        <v>76</v>
      </c>
      <c r="S248" s="19"/>
      <c r="T248" s="55" t="s">
        <v>77</v>
      </c>
      <c r="U248" s="19"/>
      <c r="V248" s="55" t="s">
        <v>78</v>
      </c>
      <c r="W248" s="19"/>
      <c r="X248" s="55" t="s">
        <v>79</v>
      </c>
      <c r="Y248" s="19"/>
    </row>
    <row r="249" ht="15.75" customHeight="1">
      <c r="A249" s="60">
        <v>1.0</v>
      </c>
      <c r="B249" s="61" t="s">
        <v>86</v>
      </c>
      <c r="C249" s="56" t="s">
        <v>353</v>
      </c>
      <c r="D249" s="18"/>
      <c r="E249" s="18"/>
      <c r="F249" s="19"/>
      <c r="G249" s="65" t="s">
        <v>82</v>
      </c>
      <c r="H249" s="18"/>
      <c r="I249" s="18"/>
      <c r="J249" s="19"/>
      <c r="K249" s="56"/>
      <c r="L249" s="18"/>
      <c r="M249" s="18"/>
      <c r="N249" s="19"/>
      <c r="O249" s="56" t="s">
        <v>83</v>
      </c>
      <c r="P249" s="18"/>
      <c r="Q249" s="19"/>
      <c r="R249" s="56" t="s">
        <v>84</v>
      </c>
      <c r="S249" s="19"/>
      <c r="T249" s="56" t="s">
        <v>84</v>
      </c>
      <c r="U249" s="19"/>
      <c r="V249" s="56"/>
      <c r="W249" s="19"/>
      <c r="X249" s="56" t="s">
        <v>173</v>
      </c>
      <c r="Y249" s="19"/>
    </row>
    <row r="250" ht="15.75" customHeight="1">
      <c r="A250" s="60">
        <v>2.0</v>
      </c>
      <c r="B250" s="61" t="s">
        <v>265</v>
      </c>
      <c r="C250" s="56" t="s">
        <v>354</v>
      </c>
      <c r="D250" s="18"/>
      <c r="E250" s="18"/>
      <c r="F250" s="19"/>
      <c r="G250" s="65" t="s">
        <v>139</v>
      </c>
      <c r="H250" s="18"/>
      <c r="I250" s="18"/>
      <c r="J250" s="19"/>
      <c r="K250" s="56"/>
      <c r="L250" s="18"/>
      <c r="M250" s="18"/>
      <c r="N250" s="19"/>
      <c r="O250" s="56" t="s">
        <v>83</v>
      </c>
      <c r="P250" s="18"/>
      <c r="Q250" s="19"/>
      <c r="R250" s="56" t="s">
        <v>84</v>
      </c>
      <c r="S250" s="19"/>
      <c r="T250" s="56" t="s">
        <v>84</v>
      </c>
      <c r="U250" s="19"/>
      <c r="V250" s="56"/>
      <c r="W250" s="19"/>
      <c r="X250" s="56" t="s">
        <v>173</v>
      </c>
      <c r="Y250" s="19"/>
    </row>
    <row r="251" ht="15.75" customHeight="1">
      <c r="A251" s="60">
        <v>3.0</v>
      </c>
      <c r="B251" s="61" t="s">
        <v>355</v>
      </c>
      <c r="C251" s="56" t="s">
        <v>356</v>
      </c>
      <c r="D251" s="18"/>
      <c r="E251" s="18"/>
      <c r="F251" s="19"/>
      <c r="G251" s="56" t="s">
        <v>98</v>
      </c>
      <c r="H251" s="18"/>
      <c r="I251" s="18"/>
      <c r="J251" s="19"/>
      <c r="K251" s="56"/>
      <c r="L251" s="18"/>
      <c r="M251" s="18"/>
      <c r="N251" s="19"/>
      <c r="O251" s="56" t="s">
        <v>83</v>
      </c>
      <c r="P251" s="18"/>
      <c r="Q251" s="19"/>
      <c r="R251" s="56"/>
      <c r="S251" s="19"/>
      <c r="T251" s="56"/>
      <c r="U251" s="19"/>
      <c r="V251" s="56"/>
      <c r="W251" s="19"/>
      <c r="X251" s="56" t="s">
        <v>357</v>
      </c>
      <c r="Y251" s="19"/>
    </row>
    <row r="252" ht="15.75" customHeight="1">
      <c r="A252" s="60">
        <v>4.0</v>
      </c>
      <c r="B252" s="61" t="s">
        <v>358</v>
      </c>
      <c r="C252" s="56" t="s">
        <v>359</v>
      </c>
      <c r="D252" s="18"/>
      <c r="E252" s="18"/>
      <c r="F252" s="19"/>
      <c r="G252" s="65" t="s">
        <v>91</v>
      </c>
      <c r="H252" s="18"/>
      <c r="I252" s="18"/>
      <c r="J252" s="19"/>
      <c r="K252" s="56"/>
      <c r="L252" s="18"/>
      <c r="M252" s="18"/>
      <c r="N252" s="19"/>
      <c r="O252" s="56" t="s">
        <v>83</v>
      </c>
      <c r="P252" s="18"/>
      <c r="Q252" s="19"/>
      <c r="R252" s="56"/>
      <c r="S252" s="19"/>
      <c r="T252" s="56"/>
      <c r="U252" s="19"/>
      <c r="V252" s="56"/>
      <c r="W252" s="19"/>
      <c r="X252" s="56" t="s">
        <v>360</v>
      </c>
      <c r="Y252" s="19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5.75" customHeight="1">
      <c r="A254" s="54">
        <v>32.0</v>
      </c>
      <c r="B254" s="55" t="s">
        <v>2</v>
      </c>
      <c r="C254" s="56" t="s">
        <v>361</v>
      </c>
      <c r="D254" s="18"/>
      <c r="E254" s="18"/>
      <c r="F254" s="19"/>
      <c r="G254" s="55" t="s">
        <v>3</v>
      </c>
      <c r="H254" s="18"/>
      <c r="I254" s="18"/>
      <c r="J254" s="19"/>
      <c r="K254" s="39" t="s">
        <v>68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9"/>
      <c r="X254" s="57" t="s">
        <v>70</v>
      </c>
      <c r="Y254" s="58">
        <v>1.0</v>
      </c>
    </row>
    <row r="255" ht="15.75" customHeight="1">
      <c r="A255" s="59" t="s">
        <v>1</v>
      </c>
      <c r="B255" s="57" t="s">
        <v>71</v>
      </c>
      <c r="C255" s="55" t="s">
        <v>72</v>
      </c>
      <c r="D255" s="18"/>
      <c r="E255" s="18"/>
      <c r="F255" s="19"/>
      <c r="G255" s="55" t="s">
        <v>73</v>
      </c>
      <c r="H255" s="18"/>
      <c r="I255" s="18"/>
      <c r="J255" s="19"/>
      <c r="K255" s="55" t="s">
        <v>74</v>
      </c>
      <c r="L255" s="18"/>
      <c r="M255" s="18"/>
      <c r="N255" s="19"/>
      <c r="O255" s="55" t="s">
        <v>75</v>
      </c>
      <c r="P255" s="18"/>
      <c r="Q255" s="19"/>
      <c r="R255" s="55" t="s">
        <v>76</v>
      </c>
      <c r="S255" s="19"/>
      <c r="T255" s="55" t="s">
        <v>77</v>
      </c>
      <c r="U255" s="19"/>
      <c r="V255" s="55" t="s">
        <v>78</v>
      </c>
      <c r="W255" s="19"/>
      <c r="X255" s="55" t="s">
        <v>79</v>
      </c>
      <c r="Y255" s="19"/>
    </row>
    <row r="256" ht="15.75" customHeight="1">
      <c r="A256" s="60">
        <v>1.0</v>
      </c>
      <c r="B256" s="61" t="s">
        <v>362</v>
      </c>
      <c r="C256" s="56" t="s">
        <v>363</v>
      </c>
      <c r="D256" s="18"/>
      <c r="E256" s="18"/>
      <c r="F256" s="19"/>
      <c r="G256" s="65" t="s">
        <v>364</v>
      </c>
      <c r="H256" s="18"/>
      <c r="I256" s="18"/>
      <c r="J256" s="19"/>
      <c r="K256" s="56"/>
      <c r="L256" s="18"/>
      <c r="M256" s="18"/>
      <c r="N256" s="19"/>
      <c r="O256" s="56" t="s">
        <v>83</v>
      </c>
      <c r="P256" s="18"/>
      <c r="Q256" s="19"/>
      <c r="R256" s="56" t="s">
        <v>84</v>
      </c>
      <c r="S256" s="19"/>
      <c r="T256" s="56" t="s">
        <v>84</v>
      </c>
      <c r="U256" s="19"/>
      <c r="V256" s="56"/>
      <c r="W256" s="19"/>
      <c r="X256" s="56" t="s">
        <v>173</v>
      </c>
      <c r="Y256" s="19"/>
    </row>
    <row r="257" ht="15.75" customHeight="1">
      <c r="A257" s="60">
        <v>2.0</v>
      </c>
      <c r="B257" s="61" t="s">
        <v>365</v>
      </c>
      <c r="C257" s="56" t="s">
        <v>366</v>
      </c>
      <c r="D257" s="18"/>
      <c r="E257" s="18"/>
      <c r="F257" s="19"/>
      <c r="G257" s="65" t="s">
        <v>364</v>
      </c>
      <c r="H257" s="18"/>
      <c r="I257" s="18"/>
      <c r="J257" s="19"/>
      <c r="K257" s="56"/>
      <c r="L257" s="18"/>
      <c r="M257" s="18"/>
      <c r="N257" s="19"/>
      <c r="O257" s="56" t="s">
        <v>83</v>
      </c>
      <c r="P257" s="18"/>
      <c r="Q257" s="19"/>
      <c r="R257" s="56" t="s">
        <v>84</v>
      </c>
      <c r="S257" s="19"/>
      <c r="T257" s="56" t="s">
        <v>84</v>
      </c>
      <c r="U257" s="19"/>
      <c r="V257" s="56"/>
      <c r="W257" s="19"/>
      <c r="X257" s="56" t="s">
        <v>173</v>
      </c>
      <c r="Y257" s="19"/>
    </row>
    <row r="258" ht="15.75" customHeight="1">
      <c r="A258" s="60">
        <v>3.0</v>
      </c>
      <c r="B258" s="61" t="s">
        <v>367</v>
      </c>
      <c r="C258" s="56" t="s">
        <v>368</v>
      </c>
      <c r="D258" s="18"/>
      <c r="E258" s="18"/>
      <c r="F258" s="19"/>
      <c r="G258" s="65" t="s">
        <v>91</v>
      </c>
      <c r="H258" s="18"/>
      <c r="I258" s="18"/>
      <c r="J258" s="19"/>
      <c r="K258" s="56"/>
      <c r="L258" s="18"/>
      <c r="M258" s="18"/>
      <c r="N258" s="19"/>
      <c r="O258" s="56" t="s">
        <v>83</v>
      </c>
      <c r="P258" s="18"/>
      <c r="Q258" s="19"/>
      <c r="R258" s="56"/>
      <c r="S258" s="19"/>
      <c r="T258" s="56"/>
      <c r="U258" s="19"/>
      <c r="V258" s="56"/>
      <c r="W258" s="19"/>
      <c r="X258" s="56" t="s">
        <v>369</v>
      </c>
      <c r="Y258" s="19"/>
    </row>
    <row r="259" ht="15.75" customHeight="1">
      <c r="A259" s="60">
        <v>4.0</v>
      </c>
      <c r="B259" s="61" t="s">
        <v>370</v>
      </c>
      <c r="C259" s="56" t="s">
        <v>371</v>
      </c>
      <c r="D259" s="18"/>
      <c r="E259" s="18"/>
      <c r="F259" s="19"/>
      <c r="G259" s="65" t="s">
        <v>98</v>
      </c>
      <c r="H259" s="18"/>
      <c r="I259" s="18"/>
      <c r="J259" s="19"/>
      <c r="K259" s="56"/>
      <c r="L259" s="18"/>
      <c r="M259" s="18"/>
      <c r="N259" s="19"/>
      <c r="O259" s="56" t="s">
        <v>83</v>
      </c>
      <c r="P259" s="18"/>
      <c r="Q259" s="19"/>
      <c r="R259" s="56"/>
      <c r="S259" s="19"/>
      <c r="T259" s="56"/>
      <c r="U259" s="19"/>
      <c r="V259" s="56"/>
      <c r="W259" s="19"/>
      <c r="X259" s="56" t="s">
        <v>372</v>
      </c>
      <c r="Y259" s="19"/>
    </row>
    <row r="260" ht="15.75" customHeight="1">
      <c r="C260" s="12"/>
    </row>
    <row r="261" ht="15.75" customHeight="1">
      <c r="C261" s="12"/>
    </row>
    <row r="262" ht="15.75" customHeight="1">
      <c r="C262" s="12"/>
    </row>
    <row r="263" ht="15.75" customHeight="1">
      <c r="C263" s="12"/>
    </row>
    <row r="264" ht="15.75" customHeight="1">
      <c r="C264" s="12"/>
    </row>
    <row r="265" ht="15.75" customHeight="1">
      <c r="C265" s="12"/>
    </row>
    <row r="266" ht="15.75" customHeight="1">
      <c r="C266" s="12"/>
    </row>
    <row r="267" ht="15.75" customHeight="1">
      <c r="C267" s="12"/>
    </row>
    <row r="268" ht="15.75" customHeight="1">
      <c r="C268" s="12"/>
    </row>
    <row r="269" ht="15.75" customHeight="1">
      <c r="C269" s="12"/>
    </row>
    <row r="270" ht="15.75" customHeight="1">
      <c r="C270" s="12"/>
    </row>
    <row r="271" ht="15.75" customHeight="1">
      <c r="C271" s="12"/>
    </row>
    <row r="272" ht="15.75" customHeight="1">
      <c r="C272" s="12"/>
    </row>
    <row r="273" ht="15.75" customHeight="1">
      <c r="C273" s="12"/>
    </row>
    <row r="274" ht="15.75" customHeight="1">
      <c r="C274" s="12"/>
    </row>
    <row r="275" ht="15.75" customHeight="1">
      <c r="C275" s="12"/>
    </row>
    <row r="276" ht="15.75" customHeight="1">
      <c r="C276" s="12"/>
    </row>
    <row r="277" ht="15.75" customHeight="1">
      <c r="C277" s="12"/>
    </row>
    <row r="278" ht="15.75" customHeight="1">
      <c r="C278" s="12"/>
    </row>
    <row r="279" ht="15.75" customHeight="1">
      <c r="C279" s="12"/>
    </row>
    <row r="280" ht="15.75" customHeight="1">
      <c r="C280" s="12"/>
    </row>
    <row r="281" ht="15.75" customHeight="1">
      <c r="C281" s="12"/>
    </row>
    <row r="282" ht="15.75" customHeight="1">
      <c r="C282" s="12"/>
    </row>
    <row r="283" ht="15.75" customHeight="1">
      <c r="C283" s="12"/>
    </row>
    <row r="284" ht="15.75" customHeight="1">
      <c r="C284" s="12"/>
    </row>
    <row r="285" ht="15.75" customHeight="1">
      <c r="C285" s="12"/>
    </row>
    <row r="286" ht="15.75" customHeight="1">
      <c r="C286" s="12"/>
    </row>
    <row r="287" ht="15.75" customHeight="1">
      <c r="C287" s="12"/>
    </row>
    <row r="288" ht="15.75" customHeight="1">
      <c r="C288" s="12"/>
    </row>
    <row r="289" ht="15.75" customHeight="1">
      <c r="C289" s="12"/>
    </row>
    <row r="290" ht="15.75" customHeight="1">
      <c r="C290" s="12"/>
    </row>
    <row r="291" ht="15.75" customHeight="1">
      <c r="C291" s="12"/>
    </row>
    <row r="292" ht="15.75" customHeight="1">
      <c r="C292" s="12"/>
    </row>
    <row r="293" ht="15.75" customHeight="1">
      <c r="C293" s="12"/>
    </row>
    <row r="294" ht="15.75" customHeight="1">
      <c r="C294" s="12"/>
    </row>
    <row r="295" ht="15.75" customHeight="1">
      <c r="C295" s="12"/>
    </row>
    <row r="296" ht="15.75" customHeight="1">
      <c r="C296" s="12"/>
    </row>
    <row r="297" ht="15.75" customHeight="1">
      <c r="C297" s="12"/>
    </row>
    <row r="298" ht="15.75" customHeight="1">
      <c r="C298" s="12"/>
    </row>
    <row r="299" ht="15.75" customHeight="1">
      <c r="C299" s="12"/>
    </row>
    <row r="300" ht="15.75" customHeight="1">
      <c r="C300" s="12"/>
    </row>
    <row r="301" ht="15.75" customHeight="1">
      <c r="C301" s="12"/>
    </row>
    <row r="302" ht="15.75" customHeight="1">
      <c r="C302" s="12"/>
    </row>
    <row r="303" ht="15.75" customHeight="1">
      <c r="C303" s="12"/>
    </row>
    <row r="304" ht="15.75" customHeight="1">
      <c r="C304" s="12"/>
    </row>
    <row r="305" ht="15.75" customHeight="1">
      <c r="C305" s="12"/>
    </row>
    <row r="306" ht="15.75" customHeight="1">
      <c r="C306" s="12"/>
    </row>
    <row r="307" ht="15.75" customHeight="1">
      <c r="C307" s="12"/>
    </row>
    <row r="308" ht="15.75" customHeight="1">
      <c r="C308" s="12"/>
    </row>
    <row r="309" ht="15.75" customHeight="1">
      <c r="C309" s="12"/>
    </row>
    <row r="310" ht="15.75" customHeight="1">
      <c r="C310" s="12"/>
    </row>
    <row r="311" ht="15.75" customHeight="1">
      <c r="C311" s="12"/>
    </row>
    <row r="312" ht="15.75" customHeight="1">
      <c r="C312" s="12"/>
    </row>
    <row r="313" ht="15.75" customHeight="1">
      <c r="C313" s="12"/>
    </row>
    <row r="314" ht="15.75" customHeight="1">
      <c r="C314" s="12"/>
    </row>
    <row r="315" ht="15.75" customHeight="1">
      <c r="C315" s="12"/>
    </row>
    <row r="316" ht="15.75" customHeight="1">
      <c r="C316" s="12"/>
    </row>
    <row r="317" ht="15.75" customHeight="1">
      <c r="C317" s="12"/>
    </row>
    <row r="318" ht="15.75" customHeight="1">
      <c r="C318" s="12"/>
    </row>
    <row r="319" ht="15.75" customHeight="1">
      <c r="C319" s="12"/>
    </row>
    <row r="320" ht="15.75" customHeight="1">
      <c r="C320" s="12"/>
    </row>
    <row r="321" ht="15.75" customHeight="1">
      <c r="C321" s="12"/>
    </row>
    <row r="322" ht="15.75" customHeight="1">
      <c r="C322" s="12"/>
    </row>
    <row r="323" ht="15.75" customHeight="1">
      <c r="C323" s="12"/>
    </row>
    <row r="324" ht="15.75" customHeight="1">
      <c r="C324" s="12"/>
    </row>
    <row r="325" ht="15.75" customHeight="1">
      <c r="C325" s="12"/>
    </row>
    <row r="326" ht="15.75" customHeight="1">
      <c r="C326" s="12"/>
    </row>
    <row r="327" ht="15.75" customHeight="1">
      <c r="C327" s="12"/>
    </row>
    <row r="328" ht="15.75" customHeight="1">
      <c r="C328" s="12"/>
    </row>
    <row r="329" ht="15.75" customHeight="1">
      <c r="C329" s="12"/>
    </row>
    <row r="330" ht="15.75" customHeight="1">
      <c r="C330" s="12"/>
    </row>
    <row r="331" ht="15.75" customHeight="1">
      <c r="C331" s="12"/>
    </row>
    <row r="332" ht="15.75" customHeight="1">
      <c r="C332" s="12"/>
    </row>
    <row r="333" ht="15.75" customHeight="1">
      <c r="C333" s="12"/>
    </row>
    <row r="334" ht="15.75" customHeight="1">
      <c r="C334" s="12"/>
    </row>
    <row r="335" ht="15.75" customHeight="1">
      <c r="C335" s="12"/>
    </row>
    <row r="336" ht="15.75" customHeight="1">
      <c r="C336" s="12"/>
    </row>
    <row r="337" ht="15.75" customHeight="1">
      <c r="C337" s="12"/>
    </row>
    <row r="338" ht="15.75" customHeight="1">
      <c r="C338" s="12"/>
    </row>
    <row r="339" ht="15.75" customHeight="1">
      <c r="C339" s="12"/>
    </row>
    <row r="340" ht="15.75" customHeight="1">
      <c r="C340" s="12"/>
    </row>
    <row r="341" ht="15.75" customHeight="1">
      <c r="C341" s="12"/>
    </row>
    <row r="342" ht="15.75" customHeight="1">
      <c r="C342" s="12"/>
    </row>
    <row r="343" ht="15.75" customHeight="1">
      <c r="C343" s="12"/>
    </row>
    <row r="344" ht="15.75" customHeight="1">
      <c r="C344" s="12"/>
    </row>
    <row r="345" ht="15.75" customHeight="1">
      <c r="C345" s="12"/>
    </row>
    <row r="346" ht="15.75" customHeight="1">
      <c r="C346" s="12"/>
    </row>
    <row r="347" ht="15.75" customHeight="1">
      <c r="C347" s="12"/>
    </row>
    <row r="348" ht="15.75" customHeight="1">
      <c r="C348" s="12"/>
    </row>
    <row r="349" ht="15.75" customHeight="1">
      <c r="C349" s="12"/>
    </row>
    <row r="350" ht="15.75" customHeight="1">
      <c r="C350" s="12"/>
    </row>
    <row r="351" ht="15.75" customHeight="1">
      <c r="C351" s="12"/>
    </row>
    <row r="352" ht="15.75" customHeight="1">
      <c r="C352" s="12"/>
    </row>
    <row r="353" ht="15.75" customHeight="1">
      <c r="C353" s="12"/>
    </row>
    <row r="354" ht="15.75" customHeight="1">
      <c r="C354" s="12"/>
    </row>
    <row r="355" ht="15.75" customHeight="1">
      <c r="C355" s="12"/>
    </row>
    <row r="356" ht="15.75" customHeight="1">
      <c r="C356" s="12"/>
    </row>
    <row r="357" ht="15.75" customHeight="1">
      <c r="C357" s="12"/>
    </row>
    <row r="358" ht="15.75" customHeight="1">
      <c r="C358" s="12"/>
    </row>
    <row r="359" ht="15.75" customHeight="1">
      <c r="C359" s="12"/>
    </row>
    <row r="360" ht="15.75" customHeight="1">
      <c r="C360" s="12"/>
    </row>
    <row r="361" ht="15.75" customHeight="1">
      <c r="C361" s="12"/>
    </row>
    <row r="362" ht="15.75" customHeight="1">
      <c r="C362" s="12"/>
    </row>
    <row r="363" ht="15.75" customHeight="1">
      <c r="C363" s="12"/>
    </row>
    <row r="364" ht="15.75" customHeight="1">
      <c r="C364" s="12"/>
    </row>
    <row r="365" ht="15.75" customHeight="1">
      <c r="C365" s="12"/>
    </row>
    <row r="366" ht="15.75" customHeight="1">
      <c r="C366" s="12"/>
    </row>
    <row r="367" ht="15.75" customHeight="1">
      <c r="C367" s="12"/>
    </row>
    <row r="368" ht="15.75" customHeight="1">
      <c r="C368" s="12"/>
    </row>
    <row r="369" ht="15.75" customHeight="1">
      <c r="C369" s="12"/>
    </row>
    <row r="370" ht="15.75" customHeight="1">
      <c r="C370" s="12"/>
    </row>
    <row r="371" ht="15.75" customHeight="1">
      <c r="C371" s="12"/>
    </row>
    <row r="372" ht="15.75" customHeight="1">
      <c r="C372" s="12"/>
    </row>
    <row r="373" ht="15.75" customHeight="1">
      <c r="C373" s="12"/>
    </row>
    <row r="374" ht="15.75" customHeight="1">
      <c r="C374" s="12"/>
    </row>
    <row r="375" ht="15.75" customHeight="1">
      <c r="C375" s="12"/>
    </row>
    <row r="376" ht="15.75" customHeight="1">
      <c r="C376" s="12"/>
    </row>
    <row r="377" ht="15.75" customHeight="1">
      <c r="C377" s="12"/>
    </row>
    <row r="378" ht="15.75" customHeight="1">
      <c r="C378" s="12"/>
    </row>
    <row r="379" ht="15.75" customHeight="1">
      <c r="C379" s="12"/>
    </row>
    <row r="380" ht="15.75" customHeight="1">
      <c r="C380" s="12"/>
    </row>
    <row r="381" ht="15.75" customHeight="1">
      <c r="C381" s="12"/>
    </row>
    <row r="382" ht="15.75" customHeight="1">
      <c r="C382" s="12"/>
    </row>
    <row r="383" ht="15.75" customHeight="1">
      <c r="C383" s="12"/>
    </row>
    <row r="384" ht="15.75" customHeight="1">
      <c r="C384" s="12"/>
    </row>
    <row r="385" ht="15.75" customHeight="1">
      <c r="C385" s="12"/>
    </row>
    <row r="386" ht="15.75" customHeight="1">
      <c r="C386" s="12"/>
    </row>
    <row r="387" ht="15.75" customHeight="1">
      <c r="C387" s="12"/>
    </row>
    <row r="388" ht="15.75" customHeight="1">
      <c r="C388" s="12"/>
    </row>
    <row r="389" ht="15.75" customHeight="1">
      <c r="C389" s="12"/>
    </row>
    <row r="390" ht="15.75" customHeight="1">
      <c r="C390" s="12"/>
    </row>
    <row r="391" ht="15.75" customHeight="1">
      <c r="C391" s="12"/>
    </row>
    <row r="392" ht="15.75" customHeight="1">
      <c r="C392" s="12"/>
    </row>
    <row r="393" ht="15.75" customHeight="1">
      <c r="C393" s="12"/>
    </row>
    <row r="394" ht="15.75" customHeight="1">
      <c r="C394" s="12"/>
    </row>
    <row r="395" ht="15.75" customHeight="1">
      <c r="C395" s="12"/>
    </row>
    <row r="396" ht="15.75" customHeight="1">
      <c r="C396" s="12"/>
    </row>
    <row r="397" ht="15.75" customHeight="1">
      <c r="C397" s="12"/>
    </row>
    <row r="398" ht="15.75" customHeight="1">
      <c r="C398" s="12"/>
    </row>
    <row r="399" ht="15.75" customHeight="1">
      <c r="C399" s="12"/>
    </row>
    <row r="400" ht="15.75" customHeight="1">
      <c r="C400" s="12"/>
    </row>
    <row r="401" ht="15.75" customHeight="1">
      <c r="C401" s="12"/>
    </row>
    <row r="402" ht="15.75" customHeight="1">
      <c r="C402" s="12"/>
    </row>
    <row r="403" ht="15.75" customHeight="1">
      <c r="C403" s="12"/>
    </row>
    <row r="404" ht="15.75" customHeight="1">
      <c r="C404" s="12"/>
    </row>
    <row r="405" ht="15.75" customHeight="1">
      <c r="C405" s="12"/>
    </row>
    <row r="406" ht="15.75" customHeight="1">
      <c r="C406" s="12"/>
    </row>
    <row r="407" ht="15.75" customHeight="1">
      <c r="C407" s="12"/>
    </row>
    <row r="408" ht="15.75" customHeight="1">
      <c r="C408" s="12"/>
    </row>
    <row r="409" ht="15.75" customHeight="1">
      <c r="C409" s="12"/>
    </row>
    <row r="410" ht="15.75" customHeight="1">
      <c r="C410" s="12"/>
    </row>
    <row r="411" ht="15.75" customHeight="1">
      <c r="C411" s="12"/>
    </row>
    <row r="412" ht="15.75" customHeight="1">
      <c r="C412" s="12"/>
    </row>
    <row r="413" ht="15.75" customHeight="1">
      <c r="C413" s="12"/>
    </row>
    <row r="414" ht="15.75" customHeight="1">
      <c r="C414" s="12"/>
    </row>
    <row r="415" ht="15.75" customHeight="1">
      <c r="C415" s="12"/>
    </row>
    <row r="416" ht="15.75" customHeight="1">
      <c r="C416" s="12"/>
    </row>
    <row r="417" ht="15.75" customHeight="1">
      <c r="C417" s="12"/>
    </row>
    <row r="418" ht="15.75" customHeight="1">
      <c r="C418" s="12"/>
    </row>
    <row r="419" ht="15.75" customHeight="1">
      <c r="C419" s="12"/>
    </row>
    <row r="420" ht="15.75" customHeight="1">
      <c r="C420" s="12"/>
    </row>
    <row r="421" ht="15.75" customHeight="1">
      <c r="C421" s="12"/>
    </row>
    <row r="422" ht="15.75" customHeight="1">
      <c r="C422" s="12"/>
    </row>
    <row r="423" ht="15.75" customHeight="1">
      <c r="C423" s="12"/>
    </row>
    <row r="424" ht="15.75" customHeight="1">
      <c r="C424" s="12"/>
    </row>
    <row r="425" ht="15.75" customHeight="1">
      <c r="C425" s="12"/>
    </row>
    <row r="426" ht="15.75" customHeight="1">
      <c r="C426" s="12"/>
    </row>
    <row r="427" ht="15.75" customHeight="1">
      <c r="C427" s="12"/>
    </row>
    <row r="428" ht="15.75" customHeight="1">
      <c r="C428" s="12"/>
    </row>
    <row r="429" ht="15.75" customHeight="1">
      <c r="C429" s="12"/>
    </row>
    <row r="430" ht="15.75" customHeight="1">
      <c r="C430" s="12"/>
    </row>
    <row r="431" ht="15.75" customHeight="1">
      <c r="C431" s="12"/>
    </row>
    <row r="432" ht="15.75" customHeight="1">
      <c r="C432" s="12"/>
    </row>
    <row r="433" ht="15.75" customHeight="1">
      <c r="C433" s="12"/>
    </row>
    <row r="434" ht="15.75" customHeight="1">
      <c r="C434" s="12"/>
    </row>
    <row r="435" ht="15.75" customHeight="1">
      <c r="C435" s="12"/>
    </row>
    <row r="436" ht="15.75" customHeight="1">
      <c r="C436" s="12"/>
    </row>
    <row r="437" ht="15.75" customHeight="1">
      <c r="C437" s="12"/>
    </row>
    <row r="438" ht="15.75" customHeight="1">
      <c r="C438" s="12"/>
    </row>
    <row r="439" ht="15.75" customHeight="1">
      <c r="C439" s="12"/>
    </row>
    <row r="440" ht="15.75" customHeight="1">
      <c r="C440" s="12"/>
    </row>
    <row r="441" ht="15.75" customHeight="1">
      <c r="C441" s="12"/>
    </row>
    <row r="442" ht="15.75" customHeight="1">
      <c r="C442" s="12"/>
    </row>
    <row r="443" ht="15.75" customHeight="1">
      <c r="C443" s="12"/>
    </row>
    <row r="444" ht="15.75" customHeight="1">
      <c r="C444" s="12"/>
    </row>
    <row r="445" ht="15.75" customHeight="1">
      <c r="C445" s="12"/>
    </row>
    <row r="446" ht="15.75" customHeight="1">
      <c r="C446" s="12"/>
    </row>
    <row r="447" ht="15.75" customHeight="1">
      <c r="C447" s="12"/>
    </row>
    <row r="448" ht="15.75" customHeight="1">
      <c r="C448" s="12"/>
    </row>
    <row r="449" ht="15.75" customHeight="1">
      <c r="C449" s="12"/>
    </row>
    <row r="450" ht="15.75" customHeight="1">
      <c r="C450" s="12"/>
    </row>
    <row r="451" ht="15.75" customHeight="1">
      <c r="C451" s="12"/>
    </row>
    <row r="452" ht="15.75" customHeight="1">
      <c r="C452" s="12"/>
    </row>
    <row r="453" ht="15.75" customHeight="1">
      <c r="C453" s="12"/>
    </row>
    <row r="454" ht="15.75" customHeight="1">
      <c r="C454" s="12"/>
    </row>
    <row r="455" ht="15.75" customHeight="1">
      <c r="C455" s="12"/>
    </row>
    <row r="456" ht="15.75" customHeight="1">
      <c r="C456" s="12"/>
    </row>
    <row r="457" ht="15.75" customHeight="1">
      <c r="C457" s="12"/>
    </row>
    <row r="458" ht="15.75" customHeight="1">
      <c r="C458" s="12"/>
    </row>
    <row r="459" ht="15.75" customHeight="1">
      <c r="C459" s="12"/>
    </row>
    <row r="460" ht="15.75" customHeight="1">
      <c r="C460" s="12"/>
    </row>
    <row r="461" ht="15.75" customHeight="1">
      <c r="C461" s="12"/>
    </row>
    <row r="462" ht="15.75" customHeight="1">
      <c r="C462" s="12"/>
    </row>
    <row r="463" ht="15.75" customHeight="1">
      <c r="C463" s="12"/>
    </row>
    <row r="464" ht="15.75" customHeight="1">
      <c r="C464" s="12"/>
    </row>
    <row r="465" ht="15.75" customHeight="1">
      <c r="C465" s="12"/>
    </row>
    <row r="466" ht="15.75" customHeight="1">
      <c r="C466" s="12"/>
    </row>
    <row r="467" ht="15.75" customHeight="1">
      <c r="C467" s="12"/>
    </row>
    <row r="468" ht="15.75" customHeight="1">
      <c r="C468" s="12"/>
    </row>
    <row r="469" ht="15.75" customHeight="1">
      <c r="C469" s="12"/>
    </row>
    <row r="470" ht="15.75" customHeight="1">
      <c r="C470" s="12"/>
    </row>
    <row r="471" ht="15.75" customHeight="1">
      <c r="C471" s="12"/>
    </row>
    <row r="472" ht="15.75" customHeight="1">
      <c r="C472" s="12"/>
    </row>
    <row r="473" ht="15.75" customHeight="1">
      <c r="C473" s="12"/>
    </row>
    <row r="474" ht="15.75" customHeight="1">
      <c r="C474" s="12"/>
    </row>
    <row r="475" ht="15.75" customHeight="1">
      <c r="C475" s="12"/>
    </row>
    <row r="476" ht="15.75" customHeight="1">
      <c r="C476" s="12"/>
    </row>
    <row r="477" ht="15.75" customHeight="1">
      <c r="C477" s="12"/>
    </row>
    <row r="478" ht="15.75" customHeight="1">
      <c r="C478" s="12"/>
    </row>
    <row r="479" ht="15.75" customHeight="1">
      <c r="C479" s="12"/>
    </row>
    <row r="480" ht="15.75" customHeight="1">
      <c r="C480" s="12"/>
    </row>
    <row r="481" ht="15.75" customHeight="1">
      <c r="C481" s="12"/>
    </row>
    <row r="482" ht="15.75" customHeight="1">
      <c r="C482" s="12"/>
    </row>
    <row r="483" ht="15.75" customHeight="1">
      <c r="C483" s="12"/>
    </row>
    <row r="484" ht="15.75" customHeight="1">
      <c r="C484" s="12"/>
    </row>
    <row r="485" ht="15.75" customHeight="1">
      <c r="C485" s="12"/>
    </row>
    <row r="486" ht="15.75" customHeight="1">
      <c r="C486" s="12"/>
    </row>
    <row r="487" ht="15.75" customHeight="1">
      <c r="C487" s="12"/>
    </row>
    <row r="488" ht="15.75" customHeight="1">
      <c r="C488" s="12"/>
    </row>
    <row r="489" ht="15.75" customHeight="1">
      <c r="C489" s="12"/>
    </row>
    <row r="490" ht="15.75" customHeight="1">
      <c r="C490" s="12"/>
    </row>
    <row r="491" ht="15.75" customHeight="1">
      <c r="C491" s="12"/>
    </row>
    <row r="492" ht="15.75" customHeight="1">
      <c r="C492" s="12"/>
    </row>
    <row r="493" ht="15.75" customHeight="1">
      <c r="C493" s="12"/>
    </row>
    <row r="494" ht="15.75" customHeight="1">
      <c r="C494" s="12"/>
    </row>
    <row r="495" ht="15.75" customHeight="1">
      <c r="C495" s="12"/>
    </row>
    <row r="496" ht="15.75" customHeight="1">
      <c r="C496" s="12"/>
    </row>
    <row r="497" ht="15.75" customHeight="1">
      <c r="C497" s="12"/>
    </row>
    <row r="498" ht="15.75" customHeight="1">
      <c r="C498" s="12"/>
    </row>
    <row r="499" ht="15.75" customHeight="1">
      <c r="C499" s="12"/>
    </row>
    <row r="500" ht="15.75" customHeight="1">
      <c r="C500" s="12"/>
    </row>
    <row r="501" ht="15.75" customHeight="1">
      <c r="C501" s="12"/>
    </row>
    <row r="502" ht="15.75" customHeight="1">
      <c r="C502" s="12"/>
    </row>
    <row r="503" ht="15.75" customHeight="1">
      <c r="C503" s="12"/>
    </row>
    <row r="504" ht="15.75" customHeight="1">
      <c r="C504" s="12"/>
    </row>
    <row r="505" ht="15.75" customHeight="1">
      <c r="C505" s="12"/>
    </row>
    <row r="506" ht="15.75" customHeight="1">
      <c r="C506" s="12"/>
    </row>
    <row r="507" ht="15.75" customHeight="1">
      <c r="C507" s="12"/>
    </row>
    <row r="508" ht="15.75" customHeight="1">
      <c r="C508" s="12"/>
    </row>
    <row r="509" ht="15.75" customHeight="1">
      <c r="C509" s="12"/>
    </row>
    <row r="510" ht="15.75" customHeight="1">
      <c r="C510" s="12"/>
    </row>
    <row r="511" ht="15.75" customHeight="1">
      <c r="C511" s="12"/>
    </row>
    <row r="512" ht="15.75" customHeight="1">
      <c r="C512" s="12"/>
    </row>
    <row r="513" ht="15.75" customHeight="1">
      <c r="C513" s="12"/>
    </row>
    <row r="514" ht="15.75" customHeight="1">
      <c r="C514" s="12"/>
    </row>
    <row r="515" ht="15.75" customHeight="1">
      <c r="C515" s="12"/>
    </row>
    <row r="516" ht="15.75" customHeight="1">
      <c r="C516" s="12"/>
    </row>
    <row r="517" ht="15.75" customHeight="1">
      <c r="C517" s="12"/>
    </row>
    <row r="518" ht="15.75" customHeight="1">
      <c r="C518" s="12"/>
    </row>
    <row r="519" ht="15.75" customHeight="1">
      <c r="C519" s="12"/>
    </row>
    <row r="520" ht="15.75" customHeight="1">
      <c r="C520" s="12"/>
    </row>
    <row r="521" ht="15.75" customHeight="1">
      <c r="C521" s="12"/>
    </row>
    <row r="522" ht="15.75" customHeight="1">
      <c r="C522" s="12"/>
    </row>
    <row r="523" ht="15.75" customHeight="1">
      <c r="C523" s="12"/>
    </row>
    <row r="524" ht="15.75" customHeight="1">
      <c r="C524" s="12"/>
    </row>
    <row r="525" ht="15.75" customHeight="1">
      <c r="C525" s="12"/>
    </row>
    <row r="526" ht="15.75" customHeight="1">
      <c r="C526" s="12"/>
    </row>
    <row r="527" ht="15.75" customHeight="1">
      <c r="C527" s="12"/>
    </row>
    <row r="528" ht="15.75" customHeight="1">
      <c r="C528" s="12"/>
    </row>
    <row r="529" ht="15.75" customHeight="1">
      <c r="C529" s="12"/>
    </row>
    <row r="530" ht="15.75" customHeight="1">
      <c r="C530" s="12"/>
    </row>
    <row r="531" ht="15.75" customHeight="1">
      <c r="C531" s="12"/>
    </row>
    <row r="532" ht="15.75" customHeight="1">
      <c r="C532" s="12"/>
    </row>
    <row r="533" ht="15.75" customHeight="1">
      <c r="C533" s="12"/>
    </row>
    <row r="534" ht="15.75" customHeight="1">
      <c r="C534" s="12"/>
    </row>
    <row r="535" ht="15.75" customHeight="1">
      <c r="C535" s="12"/>
    </row>
    <row r="536" ht="15.75" customHeight="1">
      <c r="C536" s="12"/>
    </row>
    <row r="537" ht="15.75" customHeight="1">
      <c r="C537" s="12"/>
    </row>
    <row r="538" ht="15.75" customHeight="1">
      <c r="C538" s="12"/>
    </row>
    <row r="539" ht="15.75" customHeight="1">
      <c r="C539" s="12"/>
    </row>
    <row r="540" ht="15.75" customHeight="1">
      <c r="C540" s="12"/>
    </row>
    <row r="541" ht="15.75" customHeight="1">
      <c r="C541" s="12"/>
    </row>
    <row r="542" ht="15.75" customHeight="1">
      <c r="C542" s="12"/>
    </row>
    <row r="543" ht="15.75" customHeight="1">
      <c r="C543" s="12"/>
    </row>
    <row r="544" ht="15.75" customHeight="1">
      <c r="C544" s="12"/>
    </row>
    <row r="545" ht="15.75" customHeight="1">
      <c r="C545" s="12"/>
    </row>
    <row r="546" ht="15.75" customHeight="1">
      <c r="C546" s="12"/>
    </row>
    <row r="547" ht="15.75" customHeight="1">
      <c r="C547" s="12"/>
    </row>
    <row r="548" ht="15.75" customHeight="1">
      <c r="C548" s="12"/>
    </row>
    <row r="549" ht="15.75" customHeight="1">
      <c r="C549" s="12"/>
    </row>
    <row r="550" ht="15.75" customHeight="1">
      <c r="C550" s="12"/>
    </row>
    <row r="551" ht="15.75" customHeight="1">
      <c r="C551" s="12"/>
    </row>
    <row r="552" ht="15.75" customHeight="1">
      <c r="C552" s="12"/>
    </row>
    <row r="553" ht="15.75" customHeight="1">
      <c r="C553" s="12"/>
    </row>
    <row r="554" ht="15.75" customHeight="1">
      <c r="C554" s="12"/>
    </row>
    <row r="555" ht="15.75" customHeight="1">
      <c r="C555" s="12"/>
    </row>
    <row r="556" ht="15.75" customHeight="1">
      <c r="C556" s="12"/>
    </row>
    <row r="557" ht="15.75" customHeight="1">
      <c r="C557" s="12"/>
    </row>
    <row r="558" ht="15.75" customHeight="1">
      <c r="C558" s="12"/>
    </row>
    <row r="559" ht="15.75" customHeight="1">
      <c r="C559" s="12"/>
    </row>
    <row r="560" ht="15.75" customHeight="1">
      <c r="C560" s="12"/>
    </row>
    <row r="561" ht="15.75" customHeight="1">
      <c r="C561" s="12"/>
    </row>
    <row r="562" ht="15.75" customHeight="1">
      <c r="C562" s="12"/>
    </row>
    <row r="563" ht="15.75" customHeight="1">
      <c r="C563" s="12"/>
    </row>
    <row r="564" ht="15.75" customHeight="1">
      <c r="C564" s="12"/>
    </row>
    <row r="565" ht="15.75" customHeight="1">
      <c r="C565" s="12"/>
    </row>
    <row r="566" ht="15.75" customHeight="1">
      <c r="C566" s="12"/>
    </row>
    <row r="567" ht="15.75" customHeight="1">
      <c r="C567" s="12"/>
    </row>
    <row r="568" ht="15.75" customHeight="1">
      <c r="C568" s="12"/>
    </row>
    <row r="569" ht="15.75" customHeight="1">
      <c r="C569" s="12"/>
    </row>
    <row r="570" ht="15.75" customHeight="1">
      <c r="C570" s="12"/>
    </row>
    <row r="571" ht="15.75" customHeight="1">
      <c r="C571" s="12"/>
    </row>
    <row r="572" ht="15.75" customHeight="1">
      <c r="C572" s="12"/>
    </row>
    <row r="573" ht="15.75" customHeight="1">
      <c r="C573" s="12"/>
    </row>
    <row r="574" ht="15.75" customHeight="1">
      <c r="C574" s="12"/>
    </row>
    <row r="575" ht="15.75" customHeight="1">
      <c r="C575" s="12"/>
    </row>
    <row r="576" ht="15.75" customHeight="1">
      <c r="C576" s="12"/>
    </row>
    <row r="577" ht="15.75" customHeight="1">
      <c r="C577" s="12"/>
    </row>
    <row r="578" ht="15.75" customHeight="1">
      <c r="C578" s="12"/>
    </row>
    <row r="579" ht="15.75" customHeight="1">
      <c r="C579" s="12"/>
    </row>
    <row r="580" ht="15.75" customHeight="1">
      <c r="C580" s="12"/>
    </row>
    <row r="581" ht="15.75" customHeight="1">
      <c r="C581" s="12"/>
    </row>
    <row r="582" ht="15.75" customHeight="1">
      <c r="C582" s="12"/>
    </row>
    <row r="583" ht="15.75" customHeight="1">
      <c r="C583" s="12"/>
    </row>
    <row r="584" ht="15.75" customHeight="1">
      <c r="C584" s="12"/>
    </row>
    <row r="585" ht="15.75" customHeight="1">
      <c r="C585" s="12"/>
    </row>
    <row r="586" ht="15.75" customHeight="1">
      <c r="C586" s="12"/>
    </row>
    <row r="587" ht="15.75" customHeight="1">
      <c r="C587" s="12"/>
    </row>
    <row r="588" ht="15.75" customHeight="1">
      <c r="C588" s="12"/>
    </row>
    <row r="589" ht="15.75" customHeight="1">
      <c r="C589" s="12"/>
    </row>
    <row r="590" ht="15.75" customHeight="1">
      <c r="C590" s="12"/>
    </row>
    <row r="591" ht="15.75" customHeight="1">
      <c r="C591" s="12"/>
    </row>
    <row r="592" ht="15.75" customHeight="1">
      <c r="C592" s="12"/>
    </row>
    <row r="593" ht="15.75" customHeight="1">
      <c r="C593" s="12"/>
    </row>
    <row r="594" ht="15.75" customHeight="1">
      <c r="C594" s="12"/>
    </row>
    <row r="595" ht="15.75" customHeight="1">
      <c r="C595" s="12"/>
    </row>
    <row r="596" ht="15.75" customHeight="1">
      <c r="C596" s="12"/>
    </row>
    <row r="597" ht="15.75" customHeight="1">
      <c r="C597" s="12"/>
    </row>
    <row r="598" ht="15.75" customHeight="1">
      <c r="C598" s="12"/>
    </row>
    <row r="599" ht="15.75" customHeight="1">
      <c r="C599" s="12"/>
    </row>
    <row r="600" ht="15.75" customHeight="1">
      <c r="C600" s="12"/>
    </row>
    <row r="601" ht="15.75" customHeight="1">
      <c r="C601" s="12"/>
    </row>
    <row r="602" ht="15.75" customHeight="1">
      <c r="C602" s="12"/>
    </row>
    <row r="603" ht="15.75" customHeight="1">
      <c r="C603" s="12"/>
    </row>
    <row r="604" ht="15.75" customHeight="1">
      <c r="C604" s="12"/>
    </row>
    <row r="605" ht="15.75" customHeight="1">
      <c r="C605" s="12"/>
    </row>
    <row r="606" ht="15.75" customHeight="1">
      <c r="C606" s="12"/>
    </row>
    <row r="607" ht="15.75" customHeight="1">
      <c r="C607" s="12"/>
    </row>
    <row r="608" ht="15.75" customHeight="1">
      <c r="C608" s="12"/>
    </row>
    <row r="609" ht="15.75" customHeight="1">
      <c r="C609" s="12"/>
    </row>
    <row r="610" ht="15.75" customHeight="1">
      <c r="C610" s="12"/>
    </row>
    <row r="611" ht="15.75" customHeight="1">
      <c r="C611" s="12"/>
    </row>
    <row r="612" ht="15.75" customHeight="1">
      <c r="C612" s="12"/>
    </row>
    <row r="613" ht="15.75" customHeight="1">
      <c r="C613" s="12"/>
    </row>
    <row r="614" ht="15.75" customHeight="1">
      <c r="C614" s="12"/>
    </row>
    <row r="615" ht="15.75" customHeight="1">
      <c r="C615" s="12"/>
    </row>
    <row r="616" ht="15.75" customHeight="1">
      <c r="C616" s="12"/>
    </row>
    <row r="617" ht="15.75" customHeight="1">
      <c r="C617" s="12"/>
    </row>
    <row r="618" ht="15.75" customHeight="1">
      <c r="C618" s="12"/>
    </row>
    <row r="619" ht="15.75" customHeight="1">
      <c r="C619" s="12"/>
    </row>
    <row r="620" ht="15.75" customHeight="1">
      <c r="C620" s="12"/>
    </row>
    <row r="621" ht="15.75" customHeight="1">
      <c r="C621" s="12"/>
    </row>
    <row r="622" ht="15.75" customHeight="1">
      <c r="C622" s="12"/>
    </row>
    <row r="623" ht="15.75" customHeight="1">
      <c r="C623" s="12"/>
    </row>
    <row r="624" ht="15.75" customHeight="1">
      <c r="C624" s="12"/>
    </row>
    <row r="625" ht="15.75" customHeight="1">
      <c r="C625" s="12"/>
    </row>
    <row r="626" ht="15.75" customHeight="1">
      <c r="C626" s="12"/>
    </row>
    <row r="627" ht="15.75" customHeight="1">
      <c r="C627" s="12"/>
    </row>
    <row r="628" ht="15.75" customHeight="1">
      <c r="C628" s="12"/>
    </row>
    <row r="629" ht="15.75" customHeight="1">
      <c r="C629" s="12"/>
    </row>
    <row r="630" ht="15.75" customHeight="1">
      <c r="C630" s="12"/>
    </row>
    <row r="631" ht="15.75" customHeight="1">
      <c r="C631" s="12"/>
    </row>
    <row r="632" ht="15.75" customHeight="1">
      <c r="C632" s="12"/>
    </row>
    <row r="633" ht="15.75" customHeight="1">
      <c r="C633" s="12"/>
    </row>
    <row r="634" ht="15.75" customHeight="1">
      <c r="C634" s="12"/>
    </row>
    <row r="635" ht="15.75" customHeight="1">
      <c r="C635" s="12"/>
    </row>
    <row r="636" ht="15.75" customHeight="1">
      <c r="C636" s="12"/>
    </row>
    <row r="637" ht="15.75" customHeight="1">
      <c r="C637" s="12"/>
    </row>
    <row r="638" ht="15.75" customHeight="1">
      <c r="C638" s="12"/>
    </row>
    <row r="639" ht="15.75" customHeight="1">
      <c r="C639" s="12"/>
    </row>
    <row r="640" ht="15.75" customHeight="1">
      <c r="C640" s="12"/>
    </row>
    <row r="641" ht="15.75" customHeight="1">
      <c r="C641" s="12"/>
    </row>
    <row r="642" ht="15.75" customHeight="1">
      <c r="C642" s="12"/>
    </row>
    <row r="643" ht="15.75" customHeight="1">
      <c r="C643" s="12"/>
    </row>
    <row r="644" ht="15.75" customHeight="1">
      <c r="C644" s="12"/>
    </row>
    <row r="645" ht="15.75" customHeight="1">
      <c r="C645" s="12"/>
    </row>
    <row r="646" ht="15.75" customHeight="1">
      <c r="C646" s="12"/>
    </row>
    <row r="647" ht="15.75" customHeight="1">
      <c r="C647" s="12"/>
    </row>
    <row r="648" ht="15.75" customHeight="1">
      <c r="C648" s="12"/>
    </row>
    <row r="649" ht="15.75" customHeight="1">
      <c r="C649" s="12"/>
    </row>
    <row r="650" ht="15.75" customHeight="1">
      <c r="C650" s="12"/>
    </row>
    <row r="651" ht="15.75" customHeight="1">
      <c r="C651" s="12"/>
    </row>
    <row r="652" ht="15.75" customHeight="1">
      <c r="C652" s="12"/>
    </row>
    <row r="653" ht="15.75" customHeight="1">
      <c r="C653" s="12"/>
    </row>
    <row r="654" ht="15.75" customHeight="1">
      <c r="C654" s="12"/>
    </row>
    <row r="655" ht="15.75" customHeight="1">
      <c r="C655" s="12"/>
    </row>
    <row r="656" ht="15.75" customHeight="1">
      <c r="C656" s="12"/>
    </row>
    <row r="657" ht="15.75" customHeight="1">
      <c r="C657" s="12"/>
    </row>
    <row r="658" ht="15.75" customHeight="1">
      <c r="C658" s="12"/>
    </row>
    <row r="659" ht="15.75" customHeight="1">
      <c r="C659" s="12"/>
    </row>
    <row r="660" ht="15.75" customHeight="1">
      <c r="C660" s="12"/>
    </row>
    <row r="661" ht="15.75" customHeight="1">
      <c r="C661" s="12"/>
    </row>
    <row r="662" ht="15.75" customHeight="1">
      <c r="C662" s="12"/>
    </row>
    <row r="663" ht="15.75" customHeight="1">
      <c r="C663" s="12"/>
    </row>
    <row r="664" ht="15.75" customHeight="1">
      <c r="C664" s="12"/>
    </row>
    <row r="665" ht="15.75" customHeight="1">
      <c r="C665" s="12"/>
    </row>
    <row r="666" ht="15.75" customHeight="1">
      <c r="C666" s="12"/>
    </row>
    <row r="667" ht="15.75" customHeight="1">
      <c r="C667" s="12"/>
    </row>
    <row r="668" ht="15.75" customHeight="1">
      <c r="C668" s="12"/>
    </row>
    <row r="669" ht="15.75" customHeight="1">
      <c r="C669" s="12"/>
    </row>
    <row r="670" ht="15.75" customHeight="1">
      <c r="C670" s="12"/>
    </row>
    <row r="671" ht="15.75" customHeight="1">
      <c r="C671" s="12"/>
    </row>
    <row r="672" ht="15.75" customHeight="1">
      <c r="C672" s="12"/>
    </row>
    <row r="673" ht="15.75" customHeight="1">
      <c r="C673" s="12"/>
    </row>
    <row r="674" ht="15.75" customHeight="1">
      <c r="C674" s="12"/>
    </row>
    <row r="675" ht="15.75" customHeight="1">
      <c r="C675" s="12"/>
    </row>
    <row r="676" ht="15.75" customHeight="1">
      <c r="C676" s="12"/>
    </row>
    <row r="677" ht="15.75" customHeight="1">
      <c r="C677" s="12"/>
    </row>
    <row r="678" ht="15.75" customHeight="1">
      <c r="C678" s="12"/>
    </row>
    <row r="679" ht="15.75" customHeight="1">
      <c r="C679" s="12"/>
    </row>
    <row r="680" ht="15.75" customHeight="1">
      <c r="C680" s="12"/>
    </row>
    <row r="681" ht="15.75" customHeight="1">
      <c r="C681" s="12"/>
    </row>
    <row r="682" ht="15.75" customHeight="1">
      <c r="C682" s="12"/>
    </row>
    <row r="683" ht="15.75" customHeight="1">
      <c r="C683" s="12"/>
    </row>
    <row r="684" ht="15.75" customHeight="1">
      <c r="C684" s="12"/>
    </row>
    <row r="685" ht="15.75" customHeight="1">
      <c r="C685" s="12"/>
    </row>
    <row r="686" ht="15.75" customHeight="1">
      <c r="C686" s="12"/>
    </row>
    <row r="687" ht="15.75" customHeight="1">
      <c r="C687" s="12"/>
    </row>
    <row r="688" ht="15.75" customHeight="1">
      <c r="C688" s="12"/>
    </row>
    <row r="689" ht="15.75" customHeight="1">
      <c r="C689" s="12"/>
    </row>
    <row r="690" ht="15.75" customHeight="1">
      <c r="C690" s="12"/>
    </row>
    <row r="691" ht="15.75" customHeight="1">
      <c r="C691" s="12"/>
    </row>
    <row r="692" ht="15.75" customHeight="1">
      <c r="C692" s="12"/>
    </row>
    <row r="693" ht="15.75" customHeight="1">
      <c r="C693" s="12"/>
    </row>
    <row r="694" ht="15.75" customHeight="1">
      <c r="C694" s="12"/>
    </row>
    <row r="695" ht="15.75" customHeight="1">
      <c r="C695" s="12"/>
    </row>
    <row r="696" ht="15.75" customHeight="1">
      <c r="C696" s="12"/>
    </row>
    <row r="697" ht="15.75" customHeight="1">
      <c r="C697" s="12"/>
    </row>
    <row r="698" ht="15.75" customHeight="1">
      <c r="C698" s="12"/>
    </row>
    <row r="699" ht="15.75" customHeight="1">
      <c r="C699" s="12"/>
    </row>
    <row r="700" ht="15.75" customHeight="1">
      <c r="C700" s="12"/>
    </row>
    <row r="701" ht="15.75" customHeight="1">
      <c r="C701" s="12"/>
    </row>
    <row r="702" ht="15.75" customHeight="1">
      <c r="C702" s="12"/>
    </row>
    <row r="703" ht="15.75" customHeight="1">
      <c r="C703" s="12"/>
    </row>
    <row r="704" ht="15.75" customHeight="1">
      <c r="C704" s="12"/>
    </row>
    <row r="705" ht="15.75" customHeight="1">
      <c r="C705" s="12"/>
    </row>
    <row r="706" ht="15.75" customHeight="1">
      <c r="C706" s="12"/>
    </row>
    <row r="707" ht="15.75" customHeight="1">
      <c r="C707" s="12"/>
    </row>
    <row r="708" ht="15.75" customHeight="1">
      <c r="C708" s="12"/>
    </row>
    <row r="709" ht="15.75" customHeight="1">
      <c r="C709" s="12"/>
    </row>
    <row r="710" ht="15.75" customHeight="1">
      <c r="C710" s="12"/>
    </row>
    <row r="711" ht="15.75" customHeight="1">
      <c r="C711" s="12"/>
    </row>
    <row r="712" ht="15.75" customHeight="1">
      <c r="C712" s="12"/>
    </row>
    <row r="713" ht="15.75" customHeight="1">
      <c r="C713" s="12"/>
    </row>
    <row r="714" ht="15.75" customHeight="1">
      <c r="C714" s="12"/>
    </row>
    <row r="715" ht="15.75" customHeight="1">
      <c r="C715" s="12"/>
    </row>
    <row r="716" ht="15.75" customHeight="1">
      <c r="C716" s="12"/>
    </row>
    <row r="717" ht="15.75" customHeight="1">
      <c r="C717" s="12"/>
    </row>
    <row r="718" ht="15.75" customHeight="1">
      <c r="C718" s="12"/>
    </row>
    <row r="719" ht="15.75" customHeight="1">
      <c r="C719" s="12"/>
    </row>
    <row r="720" ht="15.75" customHeight="1">
      <c r="C720" s="12"/>
    </row>
    <row r="721" ht="15.75" customHeight="1">
      <c r="C721" s="12"/>
    </row>
    <row r="722" ht="15.75" customHeight="1">
      <c r="C722" s="12"/>
    </row>
    <row r="723" ht="15.75" customHeight="1">
      <c r="C723" s="12"/>
    </row>
    <row r="724" ht="15.75" customHeight="1">
      <c r="C724" s="12"/>
    </row>
    <row r="725" ht="15.75" customHeight="1">
      <c r="C725" s="12"/>
    </row>
    <row r="726" ht="15.75" customHeight="1">
      <c r="C726" s="12"/>
    </row>
    <row r="727" ht="15.75" customHeight="1">
      <c r="C727" s="12"/>
    </row>
    <row r="728" ht="15.75" customHeight="1">
      <c r="C728" s="12"/>
    </row>
    <row r="729" ht="15.75" customHeight="1">
      <c r="C729" s="12"/>
    </row>
    <row r="730" ht="15.75" customHeight="1">
      <c r="C730" s="12"/>
    </row>
    <row r="731" ht="15.75" customHeight="1">
      <c r="C731" s="12"/>
    </row>
    <row r="732" ht="15.75" customHeight="1">
      <c r="C732" s="12"/>
    </row>
    <row r="733" ht="15.75" customHeight="1">
      <c r="C733" s="12"/>
    </row>
    <row r="734" ht="15.75" customHeight="1">
      <c r="C734" s="12"/>
    </row>
    <row r="735" ht="15.75" customHeight="1">
      <c r="C735" s="12"/>
    </row>
    <row r="736" ht="15.75" customHeight="1">
      <c r="C736" s="12"/>
    </row>
    <row r="737" ht="15.75" customHeight="1">
      <c r="C737" s="12"/>
    </row>
    <row r="738" ht="15.75" customHeight="1">
      <c r="C738" s="12"/>
    </row>
    <row r="739" ht="15.75" customHeight="1">
      <c r="C739" s="12"/>
    </row>
    <row r="740" ht="15.75" customHeight="1">
      <c r="C740" s="12"/>
    </row>
    <row r="741" ht="15.75" customHeight="1">
      <c r="C741" s="12"/>
    </row>
    <row r="742" ht="15.75" customHeight="1">
      <c r="C742" s="12"/>
    </row>
    <row r="743" ht="15.75" customHeight="1">
      <c r="C743" s="12"/>
    </row>
    <row r="744" ht="15.75" customHeight="1">
      <c r="C744" s="12"/>
    </row>
    <row r="745" ht="15.75" customHeight="1">
      <c r="C745" s="12"/>
    </row>
    <row r="746" ht="15.75" customHeight="1">
      <c r="C746" s="12"/>
    </row>
    <row r="747" ht="15.75" customHeight="1">
      <c r="C747" s="12"/>
    </row>
    <row r="748" ht="15.75" customHeight="1">
      <c r="C748" s="12"/>
    </row>
    <row r="749" ht="15.75" customHeight="1">
      <c r="C749" s="12"/>
    </row>
    <row r="750" ht="15.75" customHeight="1">
      <c r="C750" s="12"/>
    </row>
    <row r="751" ht="15.75" customHeight="1">
      <c r="C751" s="12"/>
    </row>
    <row r="752" ht="15.75" customHeight="1">
      <c r="C752" s="12"/>
    </row>
    <row r="753" ht="15.75" customHeight="1">
      <c r="C753" s="12"/>
    </row>
    <row r="754" ht="15.75" customHeight="1">
      <c r="C754" s="12"/>
    </row>
    <row r="755" ht="15.75" customHeight="1">
      <c r="C755" s="12"/>
    </row>
    <row r="756" ht="15.75" customHeight="1">
      <c r="C756" s="12"/>
    </row>
    <row r="757" ht="15.75" customHeight="1">
      <c r="C757" s="12"/>
    </row>
    <row r="758" ht="15.75" customHeight="1">
      <c r="C758" s="12"/>
    </row>
    <row r="759" ht="15.75" customHeight="1">
      <c r="C759" s="12"/>
    </row>
    <row r="760" ht="15.75" customHeight="1">
      <c r="C760" s="12"/>
    </row>
    <row r="761" ht="15.75" customHeight="1">
      <c r="C761" s="12"/>
    </row>
    <row r="762" ht="15.75" customHeight="1">
      <c r="C762" s="12"/>
    </row>
    <row r="763" ht="15.75" customHeight="1">
      <c r="C763" s="12"/>
    </row>
    <row r="764" ht="15.75" customHeight="1">
      <c r="C764" s="12"/>
    </row>
    <row r="765" ht="15.75" customHeight="1">
      <c r="C765" s="12"/>
    </row>
    <row r="766" ht="15.75" customHeight="1">
      <c r="C766" s="12"/>
    </row>
    <row r="767" ht="15.75" customHeight="1">
      <c r="C767" s="12"/>
    </row>
    <row r="768" ht="15.75" customHeight="1">
      <c r="C768" s="12"/>
    </row>
    <row r="769" ht="15.75" customHeight="1">
      <c r="C769" s="12"/>
    </row>
    <row r="770" ht="15.75" customHeight="1">
      <c r="C770" s="12"/>
    </row>
    <row r="771" ht="15.75" customHeight="1">
      <c r="C771" s="12"/>
    </row>
    <row r="772" ht="15.75" customHeight="1">
      <c r="C772" s="12"/>
    </row>
    <row r="773" ht="15.75" customHeight="1">
      <c r="C773" s="12"/>
    </row>
    <row r="774" ht="15.75" customHeight="1">
      <c r="C774" s="12"/>
    </row>
    <row r="775" ht="15.75" customHeight="1">
      <c r="C775" s="12"/>
    </row>
    <row r="776" ht="15.75" customHeight="1">
      <c r="C776" s="12"/>
    </row>
    <row r="777" ht="15.75" customHeight="1">
      <c r="C777" s="12"/>
    </row>
    <row r="778" ht="15.75" customHeight="1">
      <c r="C778" s="12"/>
    </row>
    <row r="779" ht="15.75" customHeight="1">
      <c r="C779" s="12"/>
    </row>
    <row r="780" ht="15.75" customHeight="1">
      <c r="C780" s="12"/>
    </row>
    <row r="781" ht="15.75" customHeight="1">
      <c r="C781" s="12"/>
    </row>
    <row r="782" ht="15.75" customHeight="1">
      <c r="C782" s="12"/>
    </row>
    <row r="783" ht="15.75" customHeight="1">
      <c r="C783" s="12"/>
    </row>
    <row r="784" ht="15.75" customHeight="1">
      <c r="C784" s="12"/>
    </row>
    <row r="785" ht="15.75" customHeight="1">
      <c r="C785" s="12"/>
    </row>
    <row r="786" ht="15.75" customHeight="1">
      <c r="C786" s="12"/>
    </row>
    <row r="787" ht="15.75" customHeight="1">
      <c r="C787" s="12"/>
    </row>
    <row r="788" ht="15.75" customHeight="1">
      <c r="C788" s="12"/>
    </row>
    <row r="789" ht="15.75" customHeight="1">
      <c r="C789" s="12"/>
    </row>
    <row r="790" ht="15.75" customHeight="1">
      <c r="C790" s="12"/>
    </row>
    <row r="791" ht="15.75" customHeight="1">
      <c r="C791" s="12"/>
    </row>
    <row r="792" ht="15.75" customHeight="1">
      <c r="C792" s="12"/>
    </row>
    <row r="793" ht="15.75" customHeight="1">
      <c r="C793" s="12"/>
    </row>
    <row r="794" ht="15.75" customHeight="1">
      <c r="C794" s="12"/>
    </row>
    <row r="795" ht="15.75" customHeight="1">
      <c r="C795" s="12"/>
    </row>
    <row r="796" ht="15.75" customHeight="1">
      <c r="C796" s="12"/>
    </row>
    <row r="797" ht="15.75" customHeight="1">
      <c r="C797" s="12"/>
    </row>
    <row r="798" ht="15.75" customHeight="1">
      <c r="C798" s="12"/>
    </row>
    <row r="799" ht="15.75" customHeight="1">
      <c r="C799" s="12"/>
    </row>
    <row r="800" ht="15.75" customHeight="1">
      <c r="C800" s="12"/>
    </row>
    <row r="801" ht="15.75" customHeight="1">
      <c r="C801" s="12"/>
    </row>
    <row r="802" ht="15.75" customHeight="1">
      <c r="C802" s="12"/>
    </row>
    <row r="803" ht="15.75" customHeight="1">
      <c r="C803" s="12"/>
    </row>
    <row r="804" ht="15.75" customHeight="1">
      <c r="C804" s="12"/>
    </row>
    <row r="805" ht="15.75" customHeight="1">
      <c r="C805" s="12"/>
    </row>
    <row r="806" ht="15.75" customHeight="1">
      <c r="C806" s="12"/>
    </row>
    <row r="807" ht="15.75" customHeight="1">
      <c r="C807" s="12"/>
    </row>
    <row r="808" ht="15.75" customHeight="1">
      <c r="C808" s="12"/>
    </row>
    <row r="809" ht="15.75" customHeight="1">
      <c r="C809" s="12"/>
    </row>
    <row r="810" ht="15.75" customHeight="1">
      <c r="C810" s="12"/>
    </row>
    <row r="811" ht="15.75" customHeight="1">
      <c r="C811" s="12"/>
    </row>
    <row r="812" ht="15.75" customHeight="1">
      <c r="C812" s="12"/>
    </row>
    <row r="813" ht="15.75" customHeight="1">
      <c r="C813" s="12"/>
    </row>
    <row r="814" ht="15.75" customHeight="1">
      <c r="C814" s="12"/>
    </row>
    <row r="815" ht="15.75" customHeight="1">
      <c r="C815" s="12"/>
    </row>
    <row r="816" ht="15.75" customHeight="1">
      <c r="C816" s="12"/>
    </row>
    <row r="817" ht="15.75" customHeight="1">
      <c r="C817" s="12"/>
    </row>
    <row r="818" ht="15.75" customHeight="1">
      <c r="C818" s="12"/>
    </row>
    <row r="819" ht="15.75" customHeight="1">
      <c r="C819" s="12"/>
    </row>
    <row r="820" ht="15.75" customHeight="1">
      <c r="C820" s="12"/>
    </row>
    <row r="821" ht="15.75" customHeight="1">
      <c r="C821" s="12"/>
    </row>
    <row r="822" ht="15.75" customHeight="1">
      <c r="C822" s="12"/>
    </row>
    <row r="823" ht="15.75" customHeight="1">
      <c r="C823" s="12"/>
    </row>
    <row r="824" ht="15.75" customHeight="1">
      <c r="C824" s="12"/>
    </row>
    <row r="825" ht="15.75" customHeight="1">
      <c r="C825" s="12"/>
    </row>
    <row r="826" ht="15.75" customHeight="1">
      <c r="C826" s="12"/>
    </row>
    <row r="827" ht="15.75" customHeight="1">
      <c r="C827" s="12"/>
    </row>
    <row r="828" ht="15.75" customHeight="1">
      <c r="C828" s="12"/>
    </row>
    <row r="829" ht="15.75" customHeight="1">
      <c r="C829" s="12"/>
    </row>
    <row r="830" ht="15.75" customHeight="1">
      <c r="C830" s="12"/>
    </row>
    <row r="831" ht="15.75" customHeight="1">
      <c r="C831" s="12"/>
    </row>
    <row r="832" ht="15.75" customHeight="1">
      <c r="C832" s="12"/>
    </row>
    <row r="833" ht="15.75" customHeight="1">
      <c r="C833" s="12"/>
    </row>
    <row r="834" ht="15.75" customHeight="1">
      <c r="C834" s="12"/>
    </row>
    <row r="835" ht="15.75" customHeight="1">
      <c r="C835" s="12"/>
    </row>
    <row r="836" ht="15.75" customHeight="1">
      <c r="C836" s="12"/>
    </row>
    <row r="837" ht="15.75" customHeight="1">
      <c r="C837" s="12"/>
    </row>
    <row r="838" ht="15.75" customHeight="1">
      <c r="C838" s="12"/>
    </row>
    <row r="839" ht="15.75" customHeight="1">
      <c r="C839" s="12"/>
    </row>
    <row r="840" ht="15.75" customHeight="1">
      <c r="C840" s="12"/>
    </row>
    <row r="841" ht="15.75" customHeight="1">
      <c r="C841" s="12"/>
    </row>
    <row r="842" ht="15.75" customHeight="1">
      <c r="C842" s="12"/>
    </row>
    <row r="843" ht="15.75" customHeight="1">
      <c r="C843" s="12"/>
    </row>
    <row r="844" ht="15.75" customHeight="1">
      <c r="C844" s="12"/>
    </row>
    <row r="845" ht="15.75" customHeight="1">
      <c r="C845" s="12"/>
    </row>
    <row r="846" ht="15.75" customHeight="1">
      <c r="C846" s="12"/>
    </row>
    <row r="847" ht="15.75" customHeight="1">
      <c r="C847" s="12"/>
    </row>
    <row r="848" ht="15.75" customHeight="1">
      <c r="C848" s="12"/>
    </row>
    <row r="849" ht="15.75" customHeight="1">
      <c r="C849" s="12"/>
    </row>
    <row r="850" ht="15.75" customHeight="1">
      <c r="C850" s="12"/>
    </row>
    <row r="851" ht="15.75" customHeight="1">
      <c r="C851" s="12"/>
    </row>
    <row r="852" ht="15.75" customHeight="1">
      <c r="C852" s="12"/>
    </row>
    <row r="853" ht="15.75" customHeight="1">
      <c r="C853" s="12"/>
    </row>
    <row r="854" ht="15.75" customHeight="1">
      <c r="C854" s="12"/>
    </row>
    <row r="855" ht="15.75" customHeight="1">
      <c r="C855" s="12"/>
    </row>
    <row r="856" ht="15.75" customHeight="1">
      <c r="C856" s="12"/>
    </row>
    <row r="857" ht="15.75" customHeight="1">
      <c r="C857" s="12"/>
    </row>
    <row r="858" ht="15.75" customHeight="1">
      <c r="C858" s="12"/>
    </row>
    <row r="859" ht="15.75" customHeight="1">
      <c r="C859" s="12"/>
    </row>
    <row r="860" ht="15.75" customHeight="1">
      <c r="C860" s="12"/>
    </row>
    <row r="861" ht="15.75" customHeight="1">
      <c r="C861" s="12"/>
    </row>
    <row r="862" ht="15.75" customHeight="1">
      <c r="C862" s="12"/>
    </row>
    <row r="863" ht="15.75" customHeight="1">
      <c r="C863" s="12"/>
    </row>
    <row r="864" ht="15.75" customHeight="1">
      <c r="C864" s="12"/>
    </row>
    <row r="865" ht="15.75" customHeight="1">
      <c r="C865" s="12"/>
    </row>
    <row r="866" ht="15.75" customHeight="1">
      <c r="C866" s="12"/>
    </row>
    <row r="867" ht="15.75" customHeight="1">
      <c r="C867" s="12"/>
    </row>
    <row r="868" ht="15.75" customHeight="1">
      <c r="C868" s="12"/>
    </row>
    <row r="869" ht="15.75" customHeight="1">
      <c r="C869" s="12"/>
    </row>
    <row r="870" ht="15.75" customHeight="1">
      <c r="C870" s="12"/>
    </row>
    <row r="871" ht="15.75" customHeight="1">
      <c r="C871" s="12"/>
    </row>
    <row r="872" ht="15.75" customHeight="1">
      <c r="C872" s="12"/>
    </row>
    <row r="873" ht="15.75" customHeight="1">
      <c r="C873" s="12"/>
    </row>
    <row r="874" ht="15.75" customHeight="1">
      <c r="C874" s="12"/>
    </row>
    <row r="875" ht="15.75" customHeight="1">
      <c r="C875" s="12"/>
    </row>
    <row r="876" ht="15.75" customHeight="1">
      <c r="C876" s="12"/>
    </row>
    <row r="877" ht="15.75" customHeight="1">
      <c r="C877" s="12"/>
    </row>
    <row r="878" ht="15.75" customHeight="1">
      <c r="C878" s="12"/>
    </row>
    <row r="879" ht="15.75" customHeight="1">
      <c r="C879" s="12"/>
    </row>
    <row r="880" ht="15.75" customHeight="1">
      <c r="C880" s="12"/>
    </row>
    <row r="881" ht="15.75" customHeight="1">
      <c r="C881" s="12"/>
    </row>
    <row r="882" ht="15.75" customHeight="1">
      <c r="C882" s="12"/>
    </row>
    <row r="883" ht="15.75" customHeight="1">
      <c r="C883" s="12"/>
    </row>
    <row r="884" ht="15.75" customHeight="1">
      <c r="C884" s="12"/>
    </row>
    <row r="885" ht="15.75" customHeight="1">
      <c r="C885" s="12"/>
    </row>
    <row r="886" ht="15.75" customHeight="1">
      <c r="C886" s="12"/>
    </row>
    <row r="887" ht="15.75" customHeight="1">
      <c r="C887" s="12"/>
    </row>
    <row r="888" ht="15.75" customHeight="1">
      <c r="C888" s="12"/>
    </row>
    <row r="889" ht="15.75" customHeight="1">
      <c r="C889" s="12"/>
    </row>
    <row r="890" ht="15.75" customHeight="1">
      <c r="C890" s="12"/>
    </row>
    <row r="891" ht="15.75" customHeight="1">
      <c r="C891" s="12"/>
    </row>
    <row r="892" ht="15.75" customHeight="1">
      <c r="C892" s="12"/>
    </row>
    <row r="893" ht="15.75" customHeight="1">
      <c r="C893" s="12"/>
    </row>
    <row r="894" ht="15.75" customHeight="1">
      <c r="C894" s="12"/>
    </row>
    <row r="895" ht="15.75" customHeight="1">
      <c r="C895" s="12"/>
    </row>
    <row r="896" ht="15.75" customHeight="1">
      <c r="C896" s="12"/>
    </row>
    <row r="897" ht="15.75" customHeight="1">
      <c r="C897" s="12"/>
    </row>
    <row r="898" ht="15.75" customHeight="1">
      <c r="C898" s="12"/>
    </row>
    <row r="899" ht="15.75" customHeight="1">
      <c r="C899" s="12"/>
    </row>
    <row r="900" ht="15.75" customHeight="1">
      <c r="C900" s="12"/>
    </row>
    <row r="901" ht="15.75" customHeight="1">
      <c r="C901" s="12"/>
    </row>
    <row r="902" ht="15.75" customHeight="1">
      <c r="C902" s="12"/>
    </row>
    <row r="903" ht="15.75" customHeight="1">
      <c r="C903" s="12"/>
    </row>
    <row r="904" ht="15.75" customHeight="1">
      <c r="C904" s="12"/>
    </row>
    <row r="905" ht="15.75" customHeight="1">
      <c r="C905" s="12"/>
    </row>
    <row r="906" ht="15.75" customHeight="1">
      <c r="C906" s="12"/>
    </row>
    <row r="907" ht="15.75" customHeight="1">
      <c r="C907" s="12"/>
    </row>
    <row r="908" ht="15.75" customHeight="1">
      <c r="C908" s="12"/>
    </row>
    <row r="909" ht="15.75" customHeight="1">
      <c r="C909" s="12"/>
    </row>
    <row r="910" ht="15.75" customHeight="1">
      <c r="C910" s="12"/>
    </row>
    <row r="911" ht="15.75" customHeight="1">
      <c r="C911" s="12"/>
    </row>
    <row r="912" ht="15.75" customHeight="1">
      <c r="C912" s="12"/>
    </row>
    <row r="913" ht="15.75" customHeight="1">
      <c r="C913" s="12"/>
    </row>
    <row r="914" ht="15.75" customHeight="1">
      <c r="C914" s="12"/>
    </row>
    <row r="915" ht="15.75" customHeight="1">
      <c r="C915" s="12"/>
    </row>
    <row r="916" ht="15.75" customHeight="1">
      <c r="C916" s="12"/>
    </row>
    <row r="917" ht="15.75" customHeight="1">
      <c r="C917" s="12"/>
    </row>
    <row r="918" ht="15.75" customHeight="1">
      <c r="C918" s="12"/>
    </row>
    <row r="919" ht="15.75" customHeight="1">
      <c r="C919" s="12"/>
    </row>
    <row r="920" ht="15.75" customHeight="1">
      <c r="C920" s="12"/>
    </row>
    <row r="921" ht="15.75" customHeight="1">
      <c r="C921" s="12"/>
    </row>
    <row r="922" ht="15.75" customHeight="1">
      <c r="C922" s="12"/>
    </row>
    <row r="923" ht="15.75" customHeight="1">
      <c r="C923" s="12"/>
    </row>
    <row r="924" ht="15.75" customHeight="1">
      <c r="C924" s="12"/>
    </row>
    <row r="925" ht="15.75" customHeight="1">
      <c r="C925" s="12"/>
    </row>
    <row r="926" ht="15.75" customHeight="1">
      <c r="C926" s="12"/>
    </row>
    <row r="927" ht="15.75" customHeight="1">
      <c r="C927" s="12"/>
    </row>
    <row r="928" ht="15.75" customHeight="1">
      <c r="C928" s="12"/>
    </row>
    <row r="929" ht="15.75" customHeight="1">
      <c r="C929" s="12"/>
    </row>
    <row r="930" ht="15.75" customHeight="1">
      <c r="C930" s="12"/>
    </row>
    <row r="931" ht="15.75" customHeight="1">
      <c r="C931" s="12"/>
    </row>
    <row r="932" ht="15.75" customHeight="1">
      <c r="C932" s="12"/>
    </row>
    <row r="933" ht="15.75" customHeight="1">
      <c r="C933" s="12"/>
    </row>
    <row r="934" ht="15.75" customHeight="1">
      <c r="C934" s="12"/>
    </row>
    <row r="935" ht="15.75" customHeight="1">
      <c r="C935" s="12"/>
    </row>
    <row r="936" ht="15.75" customHeight="1">
      <c r="C936" s="12"/>
    </row>
    <row r="937" ht="15.75" customHeight="1">
      <c r="C937" s="12"/>
    </row>
    <row r="938" ht="15.75" customHeight="1">
      <c r="C938" s="12"/>
    </row>
    <row r="939" ht="15.75" customHeight="1">
      <c r="C939" s="12"/>
    </row>
    <row r="940" ht="15.75" customHeight="1">
      <c r="C940" s="12"/>
    </row>
    <row r="941" ht="15.75" customHeight="1">
      <c r="C941" s="12"/>
    </row>
    <row r="942" ht="15.75" customHeight="1">
      <c r="C942" s="12"/>
    </row>
    <row r="943" ht="15.75" customHeight="1">
      <c r="C943" s="12"/>
    </row>
    <row r="944" ht="15.75" customHeight="1">
      <c r="C944" s="12"/>
    </row>
    <row r="945" ht="15.75" customHeight="1">
      <c r="C945" s="12"/>
    </row>
    <row r="946" ht="15.75" customHeight="1">
      <c r="C946" s="12"/>
    </row>
    <row r="947" ht="15.75" customHeight="1">
      <c r="C947" s="12"/>
    </row>
    <row r="948" ht="15.75" customHeight="1">
      <c r="C948" s="12"/>
    </row>
    <row r="949" ht="15.75" customHeight="1">
      <c r="C949" s="12"/>
    </row>
    <row r="950" ht="15.75" customHeight="1">
      <c r="C950" s="12"/>
    </row>
    <row r="951" ht="15.75" customHeight="1">
      <c r="C951" s="12"/>
    </row>
    <row r="952" ht="15.75" customHeight="1">
      <c r="C952" s="12"/>
    </row>
    <row r="953" ht="15.75" customHeight="1">
      <c r="C953" s="12"/>
    </row>
    <row r="954" ht="15.75" customHeight="1">
      <c r="C954" s="12"/>
    </row>
    <row r="955" ht="15.75" customHeight="1">
      <c r="C955" s="12"/>
    </row>
    <row r="956" ht="15.75" customHeight="1">
      <c r="C956" s="12"/>
    </row>
    <row r="957" ht="15.75" customHeight="1">
      <c r="C957" s="12"/>
    </row>
    <row r="958" ht="15.75" customHeight="1">
      <c r="C958" s="12"/>
    </row>
    <row r="959" ht="15.75" customHeight="1">
      <c r="C959" s="12"/>
    </row>
    <row r="960" ht="15.75" customHeight="1">
      <c r="C960" s="12"/>
    </row>
    <row r="961" ht="15.75" customHeight="1">
      <c r="C961" s="12"/>
    </row>
    <row r="962" ht="15.75" customHeight="1">
      <c r="C962" s="12"/>
    </row>
    <row r="963" ht="15.75" customHeight="1">
      <c r="C963" s="12"/>
    </row>
    <row r="964" ht="15.75" customHeight="1">
      <c r="C964" s="12"/>
    </row>
    <row r="965" ht="15.75" customHeight="1">
      <c r="C965" s="12"/>
    </row>
    <row r="966" ht="15.75" customHeight="1">
      <c r="C966" s="12"/>
    </row>
    <row r="967" ht="15.75" customHeight="1">
      <c r="C967" s="12"/>
    </row>
    <row r="968" ht="15.75" customHeight="1">
      <c r="C968" s="12"/>
    </row>
    <row r="969" ht="15.75" customHeight="1">
      <c r="C969" s="12"/>
    </row>
    <row r="970" ht="15.75" customHeight="1">
      <c r="C970" s="12"/>
    </row>
    <row r="971" ht="15.75" customHeight="1">
      <c r="C971" s="12"/>
    </row>
    <row r="972" ht="15.75" customHeight="1">
      <c r="C972" s="12"/>
    </row>
    <row r="973" ht="15.75" customHeight="1">
      <c r="C973" s="12"/>
    </row>
    <row r="974" ht="15.75" customHeight="1">
      <c r="C974" s="12"/>
    </row>
    <row r="975" ht="15.75" customHeight="1">
      <c r="C975" s="12"/>
    </row>
    <row r="976" ht="15.75" customHeight="1">
      <c r="C976" s="12"/>
    </row>
    <row r="977" ht="15.75" customHeight="1">
      <c r="C977" s="12"/>
    </row>
    <row r="978" ht="15.75" customHeight="1">
      <c r="C978" s="12"/>
    </row>
    <row r="979" ht="15.75" customHeight="1">
      <c r="C979" s="12"/>
    </row>
    <row r="980" ht="15.75" customHeight="1">
      <c r="C980" s="12"/>
    </row>
    <row r="981" ht="15.75" customHeight="1">
      <c r="C981" s="12"/>
    </row>
    <row r="982" ht="15.75" customHeight="1">
      <c r="C982" s="12"/>
    </row>
    <row r="983" ht="15.75" customHeight="1">
      <c r="C983" s="12"/>
    </row>
    <row r="984" ht="15.75" customHeight="1">
      <c r="C984" s="12"/>
    </row>
    <row r="985" ht="15.75" customHeight="1">
      <c r="C985" s="12"/>
    </row>
    <row r="986" ht="15.75" customHeight="1">
      <c r="C986" s="12"/>
    </row>
    <row r="987" ht="15.75" customHeight="1">
      <c r="C987" s="12"/>
    </row>
    <row r="988" ht="15.75" customHeight="1">
      <c r="C988" s="12"/>
    </row>
    <row r="989" ht="15.75" customHeight="1">
      <c r="C989" s="12"/>
    </row>
    <row r="990" ht="15.75" customHeight="1">
      <c r="C990" s="12"/>
    </row>
    <row r="991" ht="15.75" customHeight="1">
      <c r="C991" s="12"/>
    </row>
    <row r="992" ht="15.75" customHeight="1">
      <c r="C992" s="12"/>
    </row>
    <row r="993" ht="15.75" customHeight="1">
      <c r="C993" s="12"/>
    </row>
    <row r="994" ht="15.75" customHeight="1">
      <c r="C994" s="12"/>
    </row>
    <row r="995" ht="15.75" customHeight="1">
      <c r="C995" s="12"/>
    </row>
    <row r="996" ht="15.75" customHeight="1">
      <c r="C996" s="12"/>
    </row>
    <row r="997" ht="15.75" customHeight="1">
      <c r="C997" s="12"/>
    </row>
    <row r="998" ht="15.75" customHeight="1">
      <c r="C998" s="12"/>
    </row>
    <row r="999" ht="15.75" customHeight="1">
      <c r="C999" s="12"/>
    </row>
    <row r="1000" ht="15.75" customHeight="1">
      <c r="C1000" s="12"/>
    </row>
    <row r="1001" ht="15.75" customHeight="1">
      <c r="C1001" s="12"/>
    </row>
    <row r="1002" ht="15.75" customHeight="1">
      <c r="C1002" s="12"/>
    </row>
    <row r="1003" ht="15.75" customHeight="1">
      <c r="C1003" s="12"/>
    </row>
  </sheetData>
  <mergeCells count="1351">
    <mergeCell ref="R149:S149"/>
    <mergeCell ref="T149:U149"/>
    <mergeCell ref="V149:W149"/>
    <mergeCell ref="X149:Y149"/>
    <mergeCell ref="C148:F148"/>
    <mergeCell ref="G148:J148"/>
    <mergeCell ref="K148:W148"/>
    <mergeCell ref="C149:F149"/>
    <mergeCell ref="G149:J149"/>
    <mergeCell ref="K149:N149"/>
    <mergeCell ref="O149:Q149"/>
    <mergeCell ref="G150:J150"/>
    <mergeCell ref="K150:N150"/>
    <mergeCell ref="O150:Q150"/>
    <mergeCell ref="R150:S150"/>
    <mergeCell ref="T150:U150"/>
    <mergeCell ref="V150:W150"/>
    <mergeCell ref="X150:Y150"/>
    <mergeCell ref="V151:W151"/>
    <mergeCell ref="X151:Y151"/>
    <mergeCell ref="C150:F150"/>
    <mergeCell ref="C151:F151"/>
    <mergeCell ref="G151:J151"/>
    <mergeCell ref="K151:N151"/>
    <mergeCell ref="O151:Q151"/>
    <mergeCell ref="R151:S151"/>
    <mergeCell ref="T151:U151"/>
    <mergeCell ref="V154:W154"/>
    <mergeCell ref="X154:Y154"/>
    <mergeCell ref="G157:J157"/>
    <mergeCell ref="K157:N157"/>
    <mergeCell ref="O157:Q157"/>
    <mergeCell ref="R157:S157"/>
    <mergeCell ref="T157:U157"/>
    <mergeCell ref="V157:W157"/>
    <mergeCell ref="X157:Y157"/>
    <mergeCell ref="K159:W159"/>
    <mergeCell ref="C157:F157"/>
    <mergeCell ref="C159:F159"/>
    <mergeCell ref="G159:J159"/>
    <mergeCell ref="C160:F160"/>
    <mergeCell ref="G160:J160"/>
    <mergeCell ref="K160:N160"/>
    <mergeCell ref="O160:Q160"/>
    <mergeCell ref="G161:J161"/>
    <mergeCell ref="K161:N161"/>
    <mergeCell ref="O161:Q161"/>
    <mergeCell ref="R161:S161"/>
    <mergeCell ref="T161:U161"/>
    <mergeCell ref="V161:W161"/>
    <mergeCell ref="X161:Y161"/>
    <mergeCell ref="C161:F161"/>
    <mergeCell ref="C162:F162"/>
    <mergeCell ref="G162:J162"/>
    <mergeCell ref="K162:N162"/>
    <mergeCell ref="O162:Q162"/>
    <mergeCell ref="R162:S162"/>
    <mergeCell ref="T162:U162"/>
    <mergeCell ref="T163:U163"/>
    <mergeCell ref="V163:W163"/>
    <mergeCell ref="V162:W162"/>
    <mergeCell ref="X162:Y162"/>
    <mergeCell ref="G163:J163"/>
    <mergeCell ref="K163:N163"/>
    <mergeCell ref="O163:Q163"/>
    <mergeCell ref="R163:S163"/>
    <mergeCell ref="X163:Y163"/>
    <mergeCell ref="V164:W164"/>
    <mergeCell ref="X164:Y164"/>
    <mergeCell ref="C163:F163"/>
    <mergeCell ref="C164:F164"/>
    <mergeCell ref="G164:J164"/>
    <mergeCell ref="K164:N164"/>
    <mergeCell ref="O164:Q164"/>
    <mergeCell ref="R164:S164"/>
    <mergeCell ref="T164:U164"/>
    <mergeCell ref="R154:S154"/>
    <mergeCell ref="T154:U154"/>
    <mergeCell ref="C153:F153"/>
    <mergeCell ref="G153:J153"/>
    <mergeCell ref="K153:W153"/>
    <mergeCell ref="C154:F154"/>
    <mergeCell ref="G154:J154"/>
    <mergeCell ref="K154:N154"/>
    <mergeCell ref="O154:Q154"/>
    <mergeCell ref="G155:J155"/>
    <mergeCell ref="K155:N155"/>
    <mergeCell ref="O155:Q155"/>
    <mergeCell ref="R155:S155"/>
    <mergeCell ref="T155:U155"/>
    <mergeCell ref="V155:W155"/>
    <mergeCell ref="X155:Y155"/>
    <mergeCell ref="V156:W156"/>
    <mergeCell ref="X156:Y156"/>
    <mergeCell ref="C155:F155"/>
    <mergeCell ref="C156:F156"/>
    <mergeCell ref="G156:J156"/>
    <mergeCell ref="K156:N156"/>
    <mergeCell ref="O156:Q156"/>
    <mergeCell ref="R156:S156"/>
    <mergeCell ref="T156:U156"/>
    <mergeCell ref="R160:S160"/>
    <mergeCell ref="T160:U160"/>
    <mergeCell ref="V160:W160"/>
    <mergeCell ref="X160:Y160"/>
    <mergeCell ref="V167:W167"/>
    <mergeCell ref="X167:Y167"/>
    <mergeCell ref="G170:J170"/>
    <mergeCell ref="K170:N170"/>
    <mergeCell ref="O170:Q170"/>
    <mergeCell ref="R170:S170"/>
    <mergeCell ref="T170:U170"/>
    <mergeCell ref="V170:W170"/>
    <mergeCell ref="X170:Y170"/>
    <mergeCell ref="C170:F170"/>
    <mergeCell ref="C171:F171"/>
    <mergeCell ref="G171:J171"/>
    <mergeCell ref="K171:N171"/>
    <mergeCell ref="O171:Q171"/>
    <mergeCell ref="R171:S171"/>
    <mergeCell ref="T171:U171"/>
    <mergeCell ref="G172:J172"/>
    <mergeCell ref="K172:N172"/>
    <mergeCell ref="O172:Q172"/>
    <mergeCell ref="R172:S172"/>
    <mergeCell ref="T172:U172"/>
    <mergeCell ref="V172:W172"/>
    <mergeCell ref="X172:Y172"/>
    <mergeCell ref="C172:F172"/>
    <mergeCell ref="C173:F173"/>
    <mergeCell ref="G173:J173"/>
    <mergeCell ref="K173:N173"/>
    <mergeCell ref="O173:Q173"/>
    <mergeCell ref="R173:S173"/>
    <mergeCell ref="T173:U173"/>
    <mergeCell ref="T174:U174"/>
    <mergeCell ref="V174:W174"/>
    <mergeCell ref="V173:W173"/>
    <mergeCell ref="X173:Y173"/>
    <mergeCell ref="C174:F174"/>
    <mergeCell ref="G174:J174"/>
    <mergeCell ref="K174:N174"/>
    <mergeCell ref="O174:Q174"/>
    <mergeCell ref="R174:S174"/>
    <mergeCell ref="R167:S167"/>
    <mergeCell ref="T167:U167"/>
    <mergeCell ref="C166:F166"/>
    <mergeCell ref="G166:J166"/>
    <mergeCell ref="K166:W166"/>
    <mergeCell ref="C167:F167"/>
    <mergeCell ref="G167:J167"/>
    <mergeCell ref="K167:N167"/>
    <mergeCell ref="O167:Q167"/>
    <mergeCell ref="G168:J168"/>
    <mergeCell ref="K168:N168"/>
    <mergeCell ref="O168:Q168"/>
    <mergeCell ref="R168:S168"/>
    <mergeCell ref="T168:U168"/>
    <mergeCell ref="V168:W168"/>
    <mergeCell ref="X168:Y168"/>
    <mergeCell ref="V169:W169"/>
    <mergeCell ref="X169:Y169"/>
    <mergeCell ref="C168:F168"/>
    <mergeCell ref="C169:F169"/>
    <mergeCell ref="G169:J169"/>
    <mergeCell ref="K169:N169"/>
    <mergeCell ref="O169:Q169"/>
    <mergeCell ref="R169:S169"/>
    <mergeCell ref="T169:U169"/>
    <mergeCell ref="V171:W171"/>
    <mergeCell ref="X171:Y171"/>
    <mergeCell ref="V177:W177"/>
    <mergeCell ref="X177:Y177"/>
    <mergeCell ref="G180:J180"/>
    <mergeCell ref="K180:N180"/>
    <mergeCell ref="O180:Q180"/>
    <mergeCell ref="R180:S180"/>
    <mergeCell ref="T180:U180"/>
    <mergeCell ref="V180:W180"/>
    <mergeCell ref="X180:Y180"/>
    <mergeCell ref="C180:F180"/>
    <mergeCell ref="C181:F181"/>
    <mergeCell ref="G181:J181"/>
    <mergeCell ref="K181:N181"/>
    <mergeCell ref="O181:Q181"/>
    <mergeCell ref="R181:S181"/>
    <mergeCell ref="T181:U181"/>
    <mergeCell ref="C182:F182"/>
    <mergeCell ref="C184:F184"/>
    <mergeCell ref="G184:J184"/>
    <mergeCell ref="C185:F185"/>
    <mergeCell ref="G185:J185"/>
    <mergeCell ref="K185:N185"/>
    <mergeCell ref="O185:Q185"/>
    <mergeCell ref="V182:W182"/>
    <mergeCell ref="V185:W185"/>
    <mergeCell ref="X185:Y185"/>
    <mergeCell ref="G182:J182"/>
    <mergeCell ref="K182:N182"/>
    <mergeCell ref="O182:Q182"/>
    <mergeCell ref="R182:S182"/>
    <mergeCell ref="T182:U182"/>
    <mergeCell ref="X182:Y182"/>
    <mergeCell ref="K184:W184"/>
    <mergeCell ref="T186:U186"/>
    <mergeCell ref="V186:W186"/>
    <mergeCell ref="X186:Y186"/>
    <mergeCell ref="R185:S185"/>
    <mergeCell ref="T185:U185"/>
    <mergeCell ref="C186:F186"/>
    <mergeCell ref="G186:J186"/>
    <mergeCell ref="K186:N186"/>
    <mergeCell ref="O186:Q186"/>
    <mergeCell ref="R186:S186"/>
    <mergeCell ref="T191:U191"/>
    <mergeCell ref="V191:W191"/>
    <mergeCell ref="X191:Y191"/>
    <mergeCell ref="R190:S190"/>
    <mergeCell ref="T190:U190"/>
    <mergeCell ref="C191:F191"/>
    <mergeCell ref="G191:J191"/>
    <mergeCell ref="K191:N191"/>
    <mergeCell ref="O191:Q191"/>
    <mergeCell ref="R191:S191"/>
    <mergeCell ref="C187:F187"/>
    <mergeCell ref="C189:F189"/>
    <mergeCell ref="G189:J189"/>
    <mergeCell ref="C190:F190"/>
    <mergeCell ref="G190:J190"/>
    <mergeCell ref="K190:N190"/>
    <mergeCell ref="O190:Q190"/>
    <mergeCell ref="V187:W187"/>
    <mergeCell ref="V190:W190"/>
    <mergeCell ref="X190:Y190"/>
    <mergeCell ref="G187:J187"/>
    <mergeCell ref="K187:N187"/>
    <mergeCell ref="O187:Q187"/>
    <mergeCell ref="R187:S187"/>
    <mergeCell ref="T187:U187"/>
    <mergeCell ref="X187:Y187"/>
    <mergeCell ref="K189:W189"/>
    <mergeCell ref="C192:F192"/>
    <mergeCell ref="C194:F194"/>
    <mergeCell ref="G194:J194"/>
    <mergeCell ref="C195:F195"/>
    <mergeCell ref="G195:J195"/>
    <mergeCell ref="K195:N195"/>
    <mergeCell ref="O195:Q195"/>
    <mergeCell ref="V192:W192"/>
    <mergeCell ref="V195:W195"/>
    <mergeCell ref="X195:Y195"/>
    <mergeCell ref="G192:J192"/>
    <mergeCell ref="K192:N192"/>
    <mergeCell ref="O192:Q192"/>
    <mergeCell ref="R192:S192"/>
    <mergeCell ref="T192:U192"/>
    <mergeCell ref="X192:Y192"/>
    <mergeCell ref="K194:W194"/>
    <mergeCell ref="T196:U196"/>
    <mergeCell ref="V196:W196"/>
    <mergeCell ref="X196:Y196"/>
    <mergeCell ref="R195:S195"/>
    <mergeCell ref="T195:U195"/>
    <mergeCell ref="C196:F196"/>
    <mergeCell ref="G196:J196"/>
    <mergeCell ref="K196:N196"/>
    <mergeCell ref="O196:Q196"/>
    <mergeCell ref="R196:S196"/>
    <mergeCell ref="G197:J197"/>
    <mergeCell ref="K197:N197"/>
    <mergeCell ref="O197:Q197"/>
    <mergeCell ref="R197:S197"/>
    <mergeCell ref="T197:U197"/>
    <mergeCell ref="V197:W197"/>
    <mergeCell ref="X197:Y197"/>
    <mergeCell ref="C197:F197"/>
    <mergeCell ref="C198:F198"/>
    <mergeCell ref="G198:J198"/>
    <mergeCell ref="K198:N198"/>
    <mergeCell ref="O198:Q198"/>
    <mergeCell ref="R198:S198"/>
    <mergeCell ref="T198:U198"/>
    <mergeCell ref="T199:U199"/>
    <mergeCell ref="V199:W199"/>
    <mergeCell ref="V198:W198"/>
    <mergeCell ref="X198:Y198"/>
    <mergeCell ref="G199:J199"/>
    <mergeCell ref="K199:N199"/>
    <mergeCell ref="O199:Q199"/>
    <mergeCell ref="R199:S199"/>
    <mergeCell ref="X199:Y199"/>
    <mergeCell ref="V200:W200"/>
    <mergeCell ref="X200:Y200"/>
    <mergeCell ref="C199:F199"/>
    <mergeCell ref="C200:F200"/>
    <mergeCell ref="G200:J200"/>
    <mergeCell ref="K200:N200"/>
    <mergeCell ref="O200:Q200"/>
    <mergeCell ref="R200:S200"/>
    <mergeCell ref="T200:U200"/>
    <mergeCell ref="G201:J201"/>
    <mergeCell ref="K201:N201"/>
    <mergeCell ref="O201:Q201"/>
    <mergeCell ref="R201:S201"/>
    <mergeCell ref="T201:U201"/>
    <mergeCell ref="V201:W201"/>
    <mergeCell ref="X201:Y201"/>
    <mergeCell ref="C201:F201"/>
    <mergeCell ref="C202:F202"/>
    <mergeCell ref="G202:J202"/>
    <mergeCell ref="K202:N202"/>
    <mergeCell ref="O202:Q202"/>
    <mergeCell ref="R202:S202"/>
    <mergeCell ref="T202:U202"/>
    <mergeCell ref="K205:N205"/>
    <mergeCell ref="O205:Q205"/>
    <mergeCell ref="V205:W205"/>
    <mergeCell ref="X205:Y205"/>
    <mergeCell ref="V202:W202"/>
    <mergeCell ref="X202:Y202"/>
    <mergeCell ref="C204:F204"/>
    <mergeCell ref="G204:J204"/>
    <mergeCell ref="K204:W204"/>
    <mergeCell ref="C205:F205"/>
    <mergeCell ref="G205:J205"/>
    <mergeCell ref="T206:U206"/>
    <mergeCell ref="V206:W206"/>
    <mergeCell ref="X206:Y206"/>
    <mergeCell ref="R205:S205"/>
    <mergeCell ref="T205:U205"/>
    <mergeCell ref="C206:F206"/>
    <mergeCell ref="G206:J206"/>
    <mergeCell ref="K206:N206"/>
    <mergeCell ref="O206:Q206"/>
    <mergeCell ref="R206:S206"/>
    <mergeCell ref="G207:J207"/>
    <mergeCell ref="K207:N207"/>
    <mergeCell ref="O207:Q207"/>
    <mergeCell ref="R207:S207"/>
    <mergeCell ref="T207:U207"/>
    <mergeCell ref="V207:W207"/>
    <mergeCell ref="X207:Y207"/>
    <mergeCell ref="C207:F207"/>
    <mergeCell ref="C208:F208"/>
    <mergeCell ref="G208:J208"/>
    <mergeCell ref="K208:N208"/>
    <mergeCell ref="O208:Q208"/>
    <mergeCell ref="R208:S208"/>
    <mergeCell ref="T208:U208"/>
    <mergeCell ref="T212:U212"/>
    <mergeCell ref="V212:W212"/>
    <mergeCell ref="X212:Y212"/>
    <mergeCell ref="R211:S211"/>
    <mergeCell ref="T211:U211"/>
    <mergeCell ref="C212:F212"/>
    <mergeCell ref="G212:J212"/>
    <mergeCell ref="K212:N212"/>
    <mergeCell ref="O212:Q212"/>
    <mergeCell ref="R212:S212"/>
    <mergeCell ref="G213:J213"/>
    <mergeCell ref="K213:N213"/>
    <mergeCell ref="O213:Q213"/>
    <mergeCell ref="R213:S213"/>
    <mergeCell ref="T213:U213"/>
    <mergeCell ref="V213:W213"/>
    <mergeCell ref="X213:Y213"/>
    <mergeCell ref="C213:F213"/>
    <mergeCell ref="C214:F214"/>
    <mergeCell ref="G214:J214"/>
    <mergeCell ref="K214:N214"/>
    <mergeCell ref="O214:Q214"/>
    <mergeCell ref="R214:S214"/>
    <mergeCell ref="T214:U214"/>
    <mergeCell ref="T215:U215"/>
    <mergeCell ref="V215:W215"/>
    <mergeCell ref="V214:W214"/>
    <mergeCell ref="X214:Y214"/>
    <mergeCell ref="G215:J215"/>
    <mergeCell ref="K215:N215"/>
    <mergeCell ref="O215:Q215"/>
    <mergeCell ref="R215:S215"/>
    <mergeCell ref="X215:Y215"/>
    <mergeCell ref="V216:W216"/>
    <mergeCell ref="X216:Y216"/>
    <mergeCell ref="C215:F215"/>
    <mergeCell ref="C216:F216"/>
    <mergeCell ref="G216:J216"/>
    <mergeCell ref="K216:N216"/>
    <mergeCell ref="O216:Q216"/>
    <mergeCell ref="R216:S216"/>
    <mergeCell ref="T216:U216"/>
    <mergeCell ref="K211:N211"/>
    <mergeCell ref="O211:Q211"/>
    <mergeCell ref="V211:W211"/>
    <mergeCell ref="X211:Y211"/>
    <mergeCell ref="V208:W208"/>
    <mergeCell ref="X208:Y208"/>
    <mergeCell ref="C210:F210"/>
    <mergeCell ref="G210:J210"/>
    <mergeCell ref="K210:W210"/>
    <mergeCell ref="C211:F211"/>
    <mergeCell ref="G211:J211"/>
    <mergeCell ref="G217:J217"/>
    <mergeCell ref="K217:N217"/>
    <mergeCell ref="O217:Q217"/>
    <mergeCell ref="R217:S217"/>
    <mergeCell ref="T217:U217"/>
    <mergeCell ref="V217:W217"/>
    <mergeCell ref="X217:Y217"/>
    <mergeCell ref="C217:F217"/>
    <mergeCell ref="C218:F218"/>
    <mergeCell ref="G218:J218"/>
    <mergeCell ref="K218:N218"/>
    <mergeCell ref="O218:Q218"/>
    <mergeCell ref="R218:S218"/>
    <mergeCell ref="T218:U218"/>
    <mergeCell ref="T219:U219"/>
    <mergeCell ref="V219:W219"/>
    <mergeCell ref="V218:W218"/>
    <mergeCell ref="X218:Y218"/>
    <mergeCell ref="G219:J219"/>
    <mergeCell ref="K219:N219"/>
    <mergeCell ref="O219:Q219"/>
    <mergeCell ref="R219:S219"/>
    <mergeCell ref="X219:Y219"/>
    <mergeCell ref="R228:S228"/>
    <mergeCell ref="T228:U228"/>
    <mergeCell ref="C227:F227"/>
    <mergeCell ref="G227:J227"/>
    <mergeCell ref="K227:W227"/>
    <mergeCell ref="C228:F228"/>
    <mergeCell ref="G228:J228"/>
    <mergeCell ref="K228:N228"/>
    <mergeCell ref="O228:Q228"/>
    <mergeCell ref="G229:J229"/>
    <mergeCell ref="K229:N229"/>
    <mergeCell ref="O229:Q229"/>
    <mergeCell ref="R229:S229"/>
    <mergeCell ref="T229:U229"/>
    <mergeCell ref="V229:W229"/>
    <mergeCell ref="X229:Y229"/>
    <mergeCell ref="C229:F229"/>
    <mergeCell ref="C230:F230"/>
    <mergeCell ref="G230:J230"/>
    <mergeCell ref="K230:N230"/>
    <mergeCell ref="O230:Q230"/>
    <mergeCell ref="R230:S230"/>
    <mergeCell ref="T230:U230"/>
    <mergeCell ref="K233:N233"/>
    <mergeCell ref="O233:Q233"/>
    <mergeCell ref="V233:W233"/>
    <mergeCell ref="X233:Y233"/>
    <mergeCell ref="V230:W230"/>
    <mergeCell ref="X230:Y230"/>
    <mergeCell ref="C232:F232"/>
    <mergeCell ref="G232:J232"/>
    <mergeCell ref="K232:W232"/>
    <mergeCell ref="C233:F233"/>
    <mergeCell ref="G233:J233"/>
    <mergeCell ref="T234:U234"/>
    <mergeCell ref="V234:W234"/>
    <mergeCell ref="X234:Y234"/>
    <mergeCell ref="R233:S233"/>
    <mergeCell ref="T233:U233"/>
    <mergeCell ref="C234:F234"/>
    <mergeCell ref="G234:J234"/>
    <mergeCell ref="K234:N234"/>
    <mergeCell ref="O234:Q234"/>
    <mergeCell ref="R234:S234"/>
    <mergeCell ref="R177:S177"/>
    <mergeCell ref="T177:U177"/>
    <mergeCell ref="C176:F176"/>
    <mergeCell ref="G176:J176"/>
    <mergeCell ref="K176:W176"/>
    <mergeCell ref="C177:F177"/>
    <mergeCell ref="G177:J177"/>
    <mergeCell ref="K177:N177"/>
    <mergeCell ref="O177:Q177"/>
    <mergeCell ref="G178:J178"/>
    <mergeCell ref="K178:N178"/>
    <mergeCell ref="O178:Q178"/>
    <mergeCell ref="R178:S178"/>
    <mergeCell ref="T178:U178"/>
    <mergeCell ref="V178:W178"/>
    <mergeCell ref="X178:Y178"/>
    <mergeCell ref="V179:W179"/>
    <mergeCell ref="X179:Y179"/>
    <mergeCell ref="C178:F178"/>
    <mergeCell ref="C179:F179"/>
    <mergeCell ref="G179:J179"/>
    <mergeCell ref="K179:N179"/>
    <mergeCell ref="O179:Q179"/>
    <mergeCell ref="R179:S179"/>
    <mergeCell ref="T179:U179"/>
    <mergeCell ref="V181:W181"/>
    <mergeCell ref="X181:Y181"/>
    <mergeCell ref="T223:U223"/>
    <mergeCell ref="V223:W223"/>
    <mergeCell ref="X223:Y223"/>
    <mergeCell ref="O223:Q223"/>
    <mergeCell ref="R223:S223"/>
    <mergeCell ref="C219:F219"/>
    <mergeCell ref="C222:F222"/>
    <mergeCell ref="G222:J222"/>
    <mergeCell ref="K222:W222"/>
    <mergeCell ref="C223:F223"/>
    <mergeCell ref="G223:J223"/>
    <mergeCell ref="K223:N223"/>
    <mergeCell ref="G224:J224"/>
    <mergeCell ref="K224:N224"/>
    <mergeCell ref="O224:Q224"/>
    <mergeCell ref="R224:S224"/>
    <mergeCell ref="T224:U224"/>
    <mergeCell ref="V224:W224"/>
    <mergeCell ref="X224:Y224"/>
    <mergeCell ref="V225:W225"/>
    <mergeCell ref="X225:Y225"/>
    <mergeCell ref="C224:F224"/>
    <mergeCell ref="C225:F225"/>
    <mergeCell ref="G225:J225"/>
    <mergeCell ref="K225:N225"/>
    <mergeCell ref="O225:Q225"/>
    <mergeCell ref="R225:S225"/>
    <mergeCell ref="T225:U225"/>
    <mergeCell ref="V228:W228"/>
    <mergeCell ref="X228:Y228"/>
    <mergeCell ref="R248:S248"/>
    <mergeCell ref="T248:U248"/>
    <mergeCell ref="V248:W248"/>
    <mergeCell ref="X248:Y248"/>
    <mergeCell ref="G251:J251"/>
    <mergeCell ref="K251:N251"/>
    <mergeCell ref="O251:Q251"/>
    <mergeCell ref="R251:S251"/>
    <mergeCell ref="T251:U251"/>
    <mergeCell ref="V251:W251"/>
    <mergeCell ref="X251:Y251"/>
    <mergeCell ref="C251:F251"/>
    <mergeCell ref="C252:F252"/>
    <mergeCell ref="G252:J252"/>
    <mergeCell ref="K252:N252"/>
    <mergeCell ref="O252:Q252"/>
    <mergeCell ref="R252:S252"/>
    <mergeCell ref="T252:U252"/>
    <mergeCell ref="K248:N248"/>
    <mergeCell ref="O248:Q248"/>
    <mergeCell ref="V245:W245"/>
    <mergeCell ref="X245:Y245"/>
    <mergeCell ref="C247:F247"/>
    <mergeCell ref="G247:J247"/>
    <mergeCell ref="K247:W247"/>
    <mergeCell ref="C248:F248"/>
    <mergeCell ref="G248:J248"/>
    <mergeCell ref="G249:J249"/>
    <mergeCell ref="K249:N249"/>
    <mergeCell ref="O249:Q249"/>
    <mergeCell ref="R249:S249"/>
    <mergeCell ref="T249:U249"/>
    <mergeCell ref="V249:W249"/>
    <mergeCell ref="X249:Y249"/>
    <mergeCell ref="V250:W250"/>
    <mergeCell ref="X250:Y250"/>
    <mergeCell ref="C249:F249"/>
    <mergeCell ref="C250:F250"/>
    <mergeCell ref="G250:J250"/>
    <mergeCell ref="K250:N250"/>
    <mergeCell ref="O250:Q250"/>
    <mergeCell ref="R250:S250"/>
    <mergeCell ref="T250:U250"/>
    <mergeCell ref="V252:W252"/>
    <mergeCell ref="X252:Y252"/>
    <mergeCell ref="V255:W255"/>
    <mergeCell ref="X255:Y255"/>
    <mergeCell ref="G235:J235"/>
    <mergeCell ref="K235:N235"/>
    <mergeCell ref="O235:Q235"/>
    <mergeCell ref="R235:S235"/>
    <mergeCell ref="T235:U235"/>
    <mergeCell ref="V235:W235"/>
    <mergeCell ref="X235:Y235"/>
    <mergeCell ref="C235:F235"/>
    <mergeCell ref="C236:F236"/>
    <mergeCell ref="G236:J236"/>
    <mergeCell ref="K236:N236"/>
    <mergeCell ref="O236:Q236"/>
    <mergeCell ref="R236:S236"/>
    <mergeCell ref="T236:U236"/>
    <mergeCell ref="T237:U237"/>
    <mergeCell ref="V237:W237"/>
    <mergeCell ref="V236:W236"/>
    <mergeCell ref="X236:Y236"/>
    <mergeCell ref="G237:J237"/>
    <mergeCell ref="K237:N237"/>
    <mergeCell ref="O237:Q237"/>
    <mergeCell ref="R237:S237"/>
    <mergeCell ref="X237:Y237"/>
    <mergeCell ref="V238:W238"/>
    <mergeCell ref="X238:Y238"/>
    <mergeCell ref="C237:F237"/>
    <mergeCell ref="C238:F238"/>
    <mergeCell ref="G238:J238"/>
    <mergeCell ref="K238:N238"/>
    <mergeCell ref="O238:Q238"/>
    <mergeCell ref="R238:S238"/>
    <mergeCell ref="T238:U238"/>
    <mergeCell ref="C239:F239"/>
    <mergeCell ref="C241:F241"/>
    <mergeCell ref="G241:J241"/>
    <mergeCell ref="C242:F242"/>
    <mergeCell ref="G242:J242"/>
    <mergeCell ref="K242:N242"/>
    <mergeCell ref="O242:Q242"/>
    <mergeCell ref="V239:W239"/>
    <mergeCell ref="V242:W242"/>
    <mergeCell ref="X242:Y242"/>
    <mergeCell ref="G239:J239"/>
    <mergeCell ref="K239:N239"/>
    <mergeCell ref="O239:Q239"/>
    <mergeCell ref="R239:S239"/>
    <mergeCell ref="T239:U239"/>
    <mergeCell ref="X239:Y239"/>
    <mergeCell ref="K241:W241"/>
    <mergeCell ref="T243:U243"/>
    <mergeCell ref="V243:W243"/>
    <mergeCell ref="X243:Y243"/>
    <mergeCell ref="R242:S242"/>
    <mergeCell ref="T242:U242"/>
    <mergeCell ref="C243:F243"/>
    <mergeCell ref="G243:J243"/>
    <mergeCell ref="K243:N243"/>
    <mergeCell ref="O243:Q243"/>
    <mergeCell ref="R243:S243"/>
    <mergeCell ref="G244:J244"/>
    <mergeCell ref="K244:N244"/>
    <mergeCell ref="O244:Q244"/>
    <mergeCell ref="R244:S244"/>
    <mergeCell ref="T244:U244"/>
    <mergeCell ref="V244:W244"/>
    <mergeCell ref="X244:Y244"/>
    <mergeCell ref="C244:F244"/>
    <mergeCell ref="C245:F245"/>
    <mergeCell ref="G245:J245"/>
    <mergeCell ref="K245:N245"/>
    <mergeCell ref="O245:Q245"/>
    <mergeCell ref="R245:S245"/>
    <mergeCell ref="T245:U245"/>
    <mergeCell ref="R255:S255"/>
    <mergeCell ref="T255:U255"/>
    <mergeCell ref="C254:F254"/>
    <mergeCell ref="G254:J254"/>
    <mergeCell ref="K254:W254"/>
    <mergeCell ref="C255:F255"/>
    <mergeCell ref="G255:J255"/>
    <mergeCell ref="K255:N255"/>
    <mergeCell ref="O255:Q255"/>
    <mergeCell ref="G256:J256"/>
    <mergeCell ref="K256:N256"/>
    <mergeCell ref="O256:Q256"/>
    <mergeCell ref="R256:S256"/>
    <mergeCell ref="T256:U256"/>
    <mergeCell ref="V256:W256"/>
    <mergeCell ref="X256:Y256"/>
    <mergeCell ref="V257:W257"/>
    <mergeCell ref="X257:Y257"/>
    <mergeCell ref="C256:F256"/>
    <mergeCell ref="C257:F257"/>
    <mergeCell ref="G257:J257"/>
    <mergeCell ref="K257:N257"/>
    <mergeCell ref="O257:Q257"/>
    <mergeCell ref="R257:S257"/>
    <mergeCell ref="T257:U257"/>
    <mergeCell ref="G258:J258"/>
    <mergeCell ref="K258:N258"/>
    <mergeCell ref="O258:Q258"/>
    <mergeCell ref="R258:S258"/>
    <mergeCell ref="T258:U258"/>
    <mergeCell ref="V258:W258"/>
    <mergeCell ref="X258:Y258"/>
    <mergeCell ref="V259:W259"/>
    <mergeCell ref="X259:Y259"/>
    <mergeCell ref="C258:F258"/>
    <mergeCell ref="C259:F259"/>
    <mergeCell ref="G259:J259"/>
    <mergeCell ref="K259:N259"/>
    <mergeCell ref="O259:Q259"/>
    <mergeCell ref="R259:S259"/>
    <mergeCell ref="T259:U259"/>
    <mergeCell ref="C41:F41"/>
    <mergeCell ref="C42:F42"/>
    <mergeCell ref="G42:J42"/>
    <mergeCell ref="K42:N42"/>
    <mergeCell ref="O42:Q42"/>
    <mergeCell ref="R42:S42"/>
    <mergeCell ref="T42:U42"/>
    <mergeCell ref="G43:J43"/>
    <mergeCell ref="K43:N43"/>
    <mergeCell ref="O43:Q43"/>
    <mergeCell ref="R43:S43"/>
    <mergeCell ref="T43:U43"/>
    <mergeCell ref="V43:W43"/>
    <mergeCell ref="X43:Y43"/>
    <mergeCell ref="R39:S39"/>
    <mergeCell ref="T39:U39"/>
    <mergeCell ref="R40:S40"/>
    <mergeCell ref="T40:U40"/>
    <mergeCell ref="R41:S41"/>
    <mergeCell ref="T41:U41"/>
    <mergeCell ref="V39:W39"/>
    <mergeCell ref="X39:Y39"/>
    <mergeCell ref="V40:W40"/>
    <mergeCell ref="X40:Y40"/>
    <mergeCell ref="V41:W41"/>
    <mergeCell ref="X41:Y41"/>
    <mergeCell ref="A1:D1"/>
    <mergeCell ref="A36:Y36"/>
    <mergeCell ref="C38:F38"/>
    <mergeCell ref="G38:J38"/>
    <mergeCell ref="K38:W38"/>
    <mergeCell ref="C39:F39"/>
    <mergeCell ref="G39:J39"/>
    <mergeCell ref="G41:J41"/>
    <mergeCell ref="K41:N41"/>
    <mergeCell ref="K39:N39"/>
    <mergeCell ref="O39:Q39"/>
    <mergeCell ref="C40:F40"/>
    <mergeCell ref="G40:J40"/>
    <mergeCell ref="K40:N40"/>
    <mergeCell ref="O40:Q40"/>
    <mergeCell ref="O41:Q41"/>
    <mergeCell ref="V42:W42"/>
    <mergeCell ref="X42:Y42"/>
    <mergeCell ref="O47:Q47"/>
    <mergeCell ref="R47:S47"/>
    <mergeCell ref="X47:Y47"/>
    <mergeCell ref="C50:F50"/>
    <mergeCell ref="C52:F52"/>
    <mergeCell ref="G52:J52"/>
    <mergeCell ref="C53:F53"/>
    <mergeCell ref="G53:J53"/>
    <mergeCell ref="K53:N53"/>
    <mergeCell ref="O53:Q53"/>
    <mergeCell ref="V50:W50"/>
    <mergeCell ref="V53:W53"/>
    <mergeCell ref="X53:Y53"/>
    <mergeCell ref="G50:J50"/>
    <mergeCell ref="K50:N50"/>
    <mergeCell ref="O50:Q50"/>
    <mergeCell ref="R50:S50"/>
    <mergeCell ref="T50:U50"/>
    <mergeCell ref="X50:Y50"/>
    <mergeCell ref="K52:W52"/>
    <mergeCell ref="T54:U54"/>
    <mergeCell ref="V54:W54"/>
    <mergeCell ref="X54:Y54"/>
    <mergeCell ref="R53:S53"/>
    <mergeCell ref="T53:U53"/>
    <mergeCell ref="C54:F54"/>
    <mergeCell ref="G54:J54"/>
    <mergeCell ref="K54:N54"/>
    <mergeCell ref="O54:Q54"/>
    <mergeCell ref="R54:S54"/>
    <mergeCell ref="G55:J55"/>
    <mergeCell ref="K55:N55"/>
    <mergeCell ref="O55:Q55"/>
    <mergeCell ref="R55:S55"/>
    <mergeCell ref="T55:U55"/>
    <mergeCell ref="V55:W55"/>
    <mergeCell ref="X55:Y55"/>
    <mergeCell ref="C55:F55"/>
    <mergeCell ref="G56:J56"/>
    <mergeCell ref="K56:N56"/>
    <mergeCell ref="O56:Q56"/>
    <mergeCell ref="R56:S56"/>
    <mergeCell ref="T56:U56"/>
    <mergeCell ref="V56:W56"/>
    <mergeCell ref="C43:F43"/>
    <mergeCell ref="G44:J44"/>
    <mergeCell ref="K44:N44"/>
    <mergeCell ref="O44:Q44"/>
    <mergeCell ref="R44:S44"/>
    <mergeCell ref="T44:U44"/>
    <mergeCell ref="V44:W44"/>
    <mergeCell ref="T47:U47"/>
    <mergeCell ref="V47:W47"/>
    <mergeCell ref="C44:F44"/>
    <mergeCell ref="C46:F46"/>
    <mergeCell ref="G46:J46"/>
    <mergeCell ref="K46:W46"/>
    <mergeCell ref="C47:F47"/>
    <mergeCell ref="G47:J47"/>
    <mergeCell ref="K47:N47"/>
    <mergeCell ref="G48:J48"/>
    <mergeCell ref="K48:N48"/>
    <mergeCell ref="O48:Q48"/>
    <mergeCell ref="R48:S48"/>
    <mergeCell ref="T48:U48"/>
    <mergeCell ref="V48:W48"/>
    <mergeCell ref="X48:Y48"/>
    <mergeCell ref="V49:W49"/>
    <mergeCell ref="X49:Y49"/>
    <mergeCell ref="C48:F48"/>
    <mergeCell ref="C49:F49"/>
    <mergeCell ref="G49:J49"/>
    <mergeCell ref="K49:N49"/>
    <mergeCell ref="O49:Q49"/>
    <mergeCell ref="R49:S49"/>
    <mergeCell ref="T49:U49"/>
    <mergeCell ref="T59:U59"/>
    <mergeCell ref="V59:W59"/>
    <mergeCell ref="X59:Y59"/>
    <mergeCell ref="G62:J62"/>
    <mergeCell ref="K62:N62"/>
    <mergeCell ref="O62:Q62"/>
    <mergeCell ref="R62:S62"/>
    <mergeCell ref="T62:U62"/>
    <mergeCell ref="V62:W62"/>
    <mergeCell ref="X62:Y62"/>
    <mergeCell ref="C62:F62"/>
    <mergeCell ref="C63:F63"/>
    <mergeCell ref="G63:J63"/>
    <mergeCell ref="K63:N63"/>
    <mergeCell ref="O63:Q63"/>
    <mergeCell ref="R63:S63"/>
    <mergeCell ref="T63:U63"/>
    <mergeCell ref="C64:F64"/>
    <mergeCell ref="C66:F66"/>
    <mergeCell ref="G66:J66"/>
    <mergeCell ref="C67:F67"/>
    <mergeCell ref="G67:J67"/>
    <mergeCell ref="K67:N67"/>
    <mergeCell ref="O67:Q67"/>
    <mergeCell ref="V64:W64"/>
    <mergeCell ref="V67:W67"/>
    <mergeCell ref="X67:Y67"/>
    <mergeCell ref="G64:J64"/>
    <mergeCell ref="K64:N64"/>
    <mergeCell ref="O64:Q64"/>
    <mergeCell ref="R64:S64"/>
    <mergeCell ref="T64:U64"/>
    <mergeCell ref="X64:Y64"/>
    <mergeCell ref="K66:W66"/>
    <mergeCell ref="O59:Q59"/>
    <mergeCell ref="R59:S59"/>
    <mergeCell ref="C56:F56"/>
    <mergeCell ref="C58:F58"/>
    <mergeCell ref="G58:J58"/>
    <mergeCell ref="K58:W58"/>
    <mergeCell ref="C59:F59"/>
    <mergeCell ref="G59:J59"/>
    <mergeCell ref="K59:N59"/>
    <mergeCell ref="G60:J60"/>
    <mergeCell ref="K60:N60"/>
    <mergeCell ref="O60:Q60"/>
    <mergeCell ref="R60:S60"/>
    <mergeCell ref="T60:U60"/>
    <mergeCell ref="V60:W60"/>
    <mergeCell ref="X60:Y60"/>
    <mergeCell ref="V61:W61"/>
    <mergeCell ref="X61:Y61"/>
    <mergeCell ref="C60:F60"/>
    <mergeCell ref="C61:F61"/>
    <mergeCell ref="G61:J61"/>
    <mergeCell ref="K61:N61"/>
    <mergeCell ref="O61:Q61"/>
    <mergeCell ref="R61:S61"/>
    <mergeCell ref="T61:U61"/>
    <mergeCell ref="V63:W63"/>
    <mergeCell ref="X63:Y63"/>
    <mergeCell ref="T68:U68"/>
    <mergeCell ref="V68:W68"/>
    <mergeCell ref="X68:Y68"/>
    <mergeCell ref="K71:N71"/>
    <mergeCell ref="K72:N72"/>
    <mergeCell ref="C69:F69"/>
    <mergeCell ref="C70:F70"/>
    <mergeCell ref="G70:J70"/>
    <mergeCell ref="C71:F71"/>
    <mergeCell ref="G71:J71"/>
    <mergeCell ref="O71:Q71"/>
    <mergeCell ref="C72:F72"/>
    <mergeCell ref="K68:N68"/>
    <mergeCell ref="K69:N69"/>
    <mergeCell ref="K70:N70"/>
    <mergeCell ref="O70:Q70"/>
    <mergeCell ref="R70:S70"/>
    <mergeCell ref="T70:U70"/>
    <mergeCell ref="V70:W70"/>
    <mergeCell ref="X70:Y70"/>
    <mergeCell ref="O69:Q69"/>
    <mergeCell ref="R69:S69"/>
    <mergeCell ref="V69:W69"/>
    <mergeCell ref="X69:Y69"/>
    <mergeCell ref="R67:S67"/>
    <mergeCell ref="T67:U67"/>
    <mergeCell ref="C68:F68"/>
    <mergeCell ref="G68:J68"/>
    <mergeCell ref="O68:Q68"/>
    <mergeCell ref="R68:S68"/>
    <mergeCell ref="T69:U69"/>
    <mergeCell ref="R71:S71"/>
    <mergeCell ref="T71:U71"/>
    <mergeCell ref="V71:W71"/>
    <mergeCell ref="X71:Y71"/>
    <mergeCell ref="O72:Q72"/>
    <mergeCell ref="R72:S72"/>
    <mergeCell ref="T72:U72"/>
    <mergeCell ref="V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V76:W76"/>
    <mergeCell ref="X76:Y76"/>
    <mergeCell ref="T84:U84"/>
    <mergeCell ref="V84:W84"/>
    <mergeCell ref="X84:Y84"/>
    <mergeCell ref="R83:S83"/>
    <mergeCell ref="T83:U83"/>
    <mergeCell ref="C84:F84"/>
    <mergeCell ref="G84:J84"/>
    <mergeCell ref="K84:N84"/>
    <mergeCell ref="O84:Q84"/>
    <mergeCell ref="R84:S84"/>
    <mergeCell ref="G85:J85"/>
    <mergeCell ref="K85:N85"/>
    <mergeCell ref="O85:Q85"/>
    <mergeCell ref="R85:S85"/>
    <mergeCell ref="T85:U85"/>
    <mergeCell ref="V85:W85"/>
    <mergeCell ref="X85:Y85"/>
    <mergeCell ref="C85:F85"/>
    <mergeCell ref="C86:F86"/>
    <mergeCell ref="G86:J86"/>
    <mergeCell ref="K86:N86"/>
    <mergeCell ref="O86:Q86"/>
    <mergeCell ref="R86:S86"/>
    <mergeCell ref="T86:U86"/>
    <mergeCell ref="T87:U87"/>
    <mergeCell ref="V87:W87"/>
    <mergeCell ref="V86:W86"/>
    <mergeCell ref="X86:Y86"/>
    <mergeCell ref="G87:J87"/>
    <mergeCell ref="K87:N87"/>
    <mergeCell ref="O87:Q87"/>
    <mergeCell ref="R87:S87"/>
    <mergeCell ref="X87:Y87"/>
    <mergeCell ref="G80:J80"/>
    <mergeCell ref="C82:F82"/>
    <mergeCell ref="G82:J82"/>
    <mergeCell ref="C83:F83"/>
    <mergeCell ref="G83:J83"/>
    <mergeCell ref="K83:N83"/>
    <mergeCell ref="O83:Q83"/>
    <mergeCell ref="V80:W80"/>
    <mergeCell ref="V83:W83"/>
    <mergeCell ref="X83:Y83"/>
    <mergeCell ref="G79:J79"/>
    <mergeCell ref="K80:N80"/>
    <mergeCell ref="O80:Q80"/>
    <mergeCell ref="R80:S80"/>
    <mergeCell ref="T80:U80"/>
    <mergeCell ref="X80:Y80"/>
    <mergeCell ref="K82:W82"/>
    <mergeCell ref="R76:S76"/>
    <mergeCell ref="T76:U76"/>
    <mergeCell ref="C75:F75"/>
    <mergeCell ref="G75:J75"/>
    <mergeCell ref="K75:W75"/>
    <mergeCell ref="C76:F76"/>
    <mergeCell ref="G76:J76"/>
    <mergeCell ref="K76:N76"/>
    <mergeCell ref="O76:Q76"/>
    <mergeCell ref="G77:J77"/>
    <mergeCell ref="K77:N77"/>
    <mergeCell ref="O77:Q77"/>
    <mergeCell ref="R77:S77"/>
    <mergeCell ref="T77:U77"/>
    <mergeCell ref="V77:W77"/>
    <mergeCell ref="X77:Y77"/>
    <mergeCell ref="V78:W78"/>
    <mergeCell ref="X78:Y78"/>
    <mergeCell ref="C77:F77"/>
    <mergeCell ref="C78:F78"/>
    <mergeCell ref="G78:J78"/>
    <mergeCell ref="K78:N78"/>
    <mergeCell ref="O78:Q78"/>
    <mergeCell ref="R78:S78"/>
    <mergeCell ref="T78:U78"/>
    <mergeCell ref="C79:F79"/>
    <mergeCell ref="K79:N79"/>
    <mergeCell ref="O79:Q79"/>
    <mergeCell ref="R79:S79"/>
    <mergeCell ref="T79:U79"/>
    <mergeCell ref="V79:W79"/>
    <mergeCell ref="X79:Y79"/>
    <mergeCell ref="R104:S104"/>
    <mergeCell ref="T104:U104"/>
    <mergeCell ref="V104:W104"/>
    <mergeCell ref="X104:Y104"/>
    <mergeCell ref="G107:J107"/>
    <mergeCell ref="K107:N107"/>
    <mergeCell ref="O107:Q107"/>
    <mergeCell ref="R107:S107"/>
    <mergeCell ref="T107:U107"/>
    <mergeCell ref="V107:W107"/>
    <mergeCell ref="X107:Y107"/>
    <mergeCell ref="K109:W109"/>
    <mergeCell ref="C107:F107"/>
    <mergeCell ref="C109:F109"/>
    <mergeCell ref="G109:J109"/>
    <mergeCell ref="C110:F110"/>
    <mergeCell ref="G110:J110"/>
    <mergeCell ref="K110:N110"/>
    <mergeCell ref="O110:Q110"/>
    <mergeCell ref="G101:J101"/>
    <mergeCell ref="K101:N101"/>
    <mergeCell ref="O101:Q101"/>
    <mergeCell ref="R101:S101"/>
    <mergeCell ref="T101:U101"/>
    <mergeCell ref="V101:W101"/>
    <mergeCell ref="X101:Y101"/>
    <mergeCell ref="K103:W103"/>
    <mergeCell ref="C101:F101"/>
    <mergeCell ref="C103:F103"/>
    <mergeCell ref="G103:J103"/>
    <mergeCell ref="C104:F104"/>
    <mergeCell ref="G104:J104"/>
    <mergeCell ref="K104:N104"/>
    <mergeCell ref="O104:Q104"/>
    <mergeCell ref="G105:J105"/>
    <mergeCell ref="K105:N105"/>
    <mergeCell ref="O105:Q105"/>
    <mergeCell ref="R105:S105"/>
    <mergeCell ref="T105:U105"/>
    <mergeCell ref="V105:W105"/>
    <mergeCell ref="X105:Y105"/>
    <mergeCell ref="V106:W106"/>
    <mergeCell ref="X106:Y106"/>
    <mergeCell ref="C105:F105"/>
    <mergeCell ref="C106:F106"/>
    <mergeCell ref="G106:J106"/>
    <mergeCell ref="K106:N106"/>
    <mergeCell ref="O106:Q106"/>
    <mergeCell ref="R106:S106"/>
    <mergeCell ref="T106:U106"/>
    <mergeCell ref="R110:S110"/>
    <mergeCell ref="T110:U110"/>
    <mergeCell ref="V110:W110"/>
    <mergeCell ref="X110:Y110"/>
    <mergeCell ref="V112:W112"/>
    <mergeCell ref="X112:Y112"/>
    <mergeCell ref="V88:W88"/>
    <mergeCell ref="X88:Y88"/>
    <mergeCell ref="C87:F87"/>
    <mergeCell ref="C88:F88"/>
    <mergeCell ref="G88:J88"/>
    <mergeCell ref="K88:N88"/>
    <mergeCell ref="O88:Q88"/>
    <mergeCell ref="R88:S88"/>
    <mergeCell ref="T88:U88"/>
    <mergeCell ref="C89:F89"/>
    <mergeCell ref="C91:F91"/>
    <mergeCell ref="G91:J91"/>
    <mergeCell ref="C92:F92"/>
    <mergeCell ref="G92:J92"/>
    <mergeCell ref="K92:N92"/>
    <mergeCell ref="O92:Q92"/>
    <mergeCell ref="V89:W89"/>
    <mergeCell ref="V92:W92"/>
    <mergeCell ref="X92:Y92"/>
    <mergeCell ref="G89:J89"/>
    <mergeCell ref="K89:N89"/>
    <mergeCell ref="O89:Q89"/>
    <mergeCell ref="R89:S89"/>
    <mergeCell ref="T89:U89"/>
    <mergeCell ref="X89:Y89"/>
    <mergeCell ref="K91:W91"/>
    <mergeCell ref="T93:U93"/>
    <mergeCell ref="V93:W93"/>
    <mergeCell ref="R92:S92"/>
    <mergeCell ref="T92:U92"/>
    <mergeCell ref="C93:F93"/>
    <mergeCell ref="G93:J93"/>
    <mergeCell ref="K93:N93"/>
    <mergeCell ref="O93:Q93"/>
    <mergeCell ref="R93:S93"/>
    <mergeCell ref="C94:F94"/>
    <mergeCell ref="G94:J94"/>
    <mergeCell ref="K94:N94"/>
    <mergeCell ref="O94:Q94"/>
    <mergeCell ref="R94:S94"/>
    <mergeCell ref="T94:U94"/>
    <mergeCell ref="V94:W94"/>
    <mergeCell ref="C95:F95"/>
    <mergeCell ref="G95:J95"/>
    <mergeCell ref="K95:N95"/>
    <mergeCell ref="O95:Q95"/>
    <mergeCell ref="R95:S95"/>
    <mergeCell ref="T95:U95"/>
    <mergeCell ref="V95:W95"/>
    <mergeCell ref="C96:F96"/>
    <mergeCell ref="C98:F98"/>
    <mergeCell ref="G98:J98"/>
    <mergeCell ref="C99:F99"/>
    <mergeCell ref="G99:J99"/>
    <mergeCell ref="K99:N99"/>
    <mergeCell ref="O99:Q99"/>
    <mergeCell ref="V96:W96"/>
    <mergeCell ref="V99:W99"/>
    <mergeCell ref="X99:Y99"/>
    <mergeCell ref="G96:J96"/>
    <mergeCell ref="K96:N96"/>
    <mergeCell ref="O96:Q96"/>
    <mergeCell ref="R96:S96"/>
    <mergeCell ref="T96:U96"/>
    <mergeCell ref="X96:Y96"/>
    <mergeCell ref="K98:W98"/>
    <mergeCell ref="T100:U100"/>
    <mergeCell ref="V100:W100"/>
    <mergeCell ref="X100:Y100"/>
    <mergeCell ref="R99:S99"/>
    <mergeCell ref="T99:U99"/>
    <mergeCell ref="C100:F100"/>
    <mergeCell ref="G100:J100"/>
    <mergeCell ref="K100:N100"/>
    <mergeCell ref="O100:Q100"/>
    <mergeCell ref="R100:S100"/>
    <mergeCell ref="G116:J116"/>
    <mergeCell ref="K116:N116"/>
    <mergeCell ref="O116:Q116"/>
    <mergeCell ref="R116:S116"/>
    <mergeCell ref="T116:U116"/>
    <mergeCell ref="V116:W116"/>
    <mergeCell ref="X116:Y116"/>
    <mergeCell ref="C116:F116"/>
    <mergeCell ref="C117:F117"/>
    <mergeCell ref="G117:J117"/>
    <mergeCell ref="K117:N117"/>
    <mergeCell ref="O117:Q117"/>
    <mergeCell ref="R117:S117"/>
    <mergeCell ref="T117:U117"/>
    <mergeCell ref="G118:J118"/>
    <mergeCell ref="K118:N118"/>
    <mergeCell ref="O118:Q118"/>
    <mergeCell ref="R118:S118"/>
    <mergeCell ref="T118:U118"/>
    <mergeCell ref="V118:W118"/>
    <mergeCell ref="X118:Y118"/>
    <mergeCell ref="C118:F118"/>
    <mergeCell ref="C119:F119"/>
    <mergeCell ref="G119:J119"/>
    <mergeCell ref="K119:N119"/>
    <mergeCell ref="O119:Q119"/>
    <mergeCell ref="R119:S119"/>
    <mergeCell ref="T119:U119"/>
    <mergeCell ref="T120:U120"/>
    <mergeCell ref="V120:W120"/>
    <mergeCell ref="V119:W119"/>
    <mergeCell ref="X119:Y119"/>
    <mergeCell ref="G120:J120"/>
    <mergeCell ref="K120:N120"/>
    <mergeCell ref="O120:Q120"/>
    <mergeCell ref="R120:S120"/>
    <mergeCell ref="X120:Y120"/>
    <mergeCell ref="V121:W121"/>
    <mergeCell ref="X121:Y121"/>
    <mergeCell ref="C120:F120"/>
    <mergeCell ref="C121:F121"/>
    <mergeCell ref="G121:J121"/>
    <mergeCell ref="K121:N121"/>
    <mergeCell ref="O121:Q121"/>
    <mergeCell ref="R121:S121"/>
    <mergeCell ref="T121:U121"/>
    <mergeCell ref="G111:J111"/>
    <mergeCell ref="K111:N111"/>
    <mergeCell ref="O111:Q111"/>
    <mergeCell ref="R111:S111"/>
    <mergeCell ref="T111:U111"/>
    <mergeCell ref="V111:W111"/>
    <mergeCell ref="X111:Y111"/>
    <mergeCell ref="C111:F111"/>
    <mergeCell ref="C112:F112"/>
    <mergeCell ref="G112:J112"/>
    <mergeCell ref="K112:N112"/>
    <mergeCell ref="O112:Q112"/>
    <mergeCell ref="R112:S112"/>
    <mergeCell ref="T112:U112"/>
    <mergeCell ref="R115:S115"/>
    <mergeCell ref="T115:U115"/>
    <mergeCell ref="V115:W115"/>
    <mergeCell ref="X115:Y115"/>
    <mergeCell ref="C114:F114"/>
    <mergeCell ref="G114:J114"/>
    <mergeCell ref="K114:W114"/>
    <mergeCell ref="C115:F115"/>
    <mergeCell ref="G115:J115"/>
    <mergeCell ref="K115:N115"/>
    <mergeCell ref="O115:Q115"/>
    <mergeCell ref="V117:W117"/>
    <mergeCell ref="X117:Y117"/>
    <mergeCell ref="V124:W124"/>
    <mergeCell ref="X124:Y124"/>
    <mergeCell ref="G127:J127"/>
    <mergeCell ref="K127:N127"/>
    <mergeCell ref="O127:Q127"/>
    <mergeCell ref="R127:S127"/>
    <mergeCell ref="T127:U127"/>
    <mergeCell ref="V127:W127"/>
    <mergeCell ref="X127:Y127"/>
    <mergeCell ref="K129:W129"/>
    <mergeCell ref="C127:F127"/>
    <mergeCell ref="C129:F129"/>
    <mergeCell ref="G129:J129"/>
    <mergeCell ref="C130:F130"/>
    <mergeCell ref="G130:J130"/>
    <mergeCell ref="K130:N130"/>
    <mergeCell ref="O130:Q130"/>
    <mergeCell ref="G131:J131"/>
    <mergeCell ref="K131:N131"/>
    <mergeCell ref="O131:Q131"/>
    <mergeCell ref="R131:S131"/>
    <mergeCell ref="T131:U131"/>
    <mergeCell ref="V131:W131"/>
    <mergeCell ref="X131:Y131"/>
    <mergeCell ref="C131:F131"/>
    <mergeCell ref="C132:F132"/>
    <mergeCell ref="G132:J132"/>
    <mergeCell ref="K132:N132"/>
    <mergeCell ref="O132:Q132"/>
    <mergeCell ref="R132:S132"/>
    <mergeCell ref="T132:U132"/>
    <mergeCell ref="T136:U136"/>
    <mergeCell ref="V136:W136"/>
    <mergeCell ref="X136:Y136"/>
    <mergeCell ref="R135:S135"/>
    <mergeCell ref="T135:U135"/>
    <mergeCell ref="C136:F136"/>
    <mergeCell ref="G136:J136"/>
    <mergeCell ref="K136:N136"/>
    <mergeCell ref="O136:Q136"/>
    <mergeCell ref="R136:S136"/>
    <mergeCell ref="K135:N135"/>
    <mergeCell ref="O135:Q135"/>
    <mergeCell ref="V135:W135"/>
    <mergeCell ref="X135:Y135"/>
    <mergeCell ref="V132:W132"/>
    <mergeCell ref="X132:Y132"/>
    <mergeCell ref="C134:F134"/>
    <mergeCell ref="G134:J134"/>
    <mergeCell ref="K134:W134"/>
    <mergeCell ref="C135:F135"/>
    <mergeCell ref="G135:J135"/>
    <mergeCell ref="G137:J137"/>
    <mergeCell ref="K137:N137"/>
    <mergeCell ref="O137:Q137"/>
    <mergeCell ref="R137:S137"/>
    <mergeCell ref="T137:U137"/>
    <mergeCell ref="V137:W137"/>
    <mergeCell ref="X137:Y137"/>
    <mergeCell ref="C137:F137"/>
    <mergeCell ref="C138:F138"/>
    <mergeCell ref="G138:J138"/>
    <mergeCell ref="K138:N138"/>
    <mergeCell ref="O138:Q138"/>
    <mergeCell ref="R138:S138"/>
    <mergeCell ref="T138:U138"/>
    <mergeCell ref="T139:U139"/>
    <mergeCell ref="V139:W139"/>
    <mergeCell ref="V138:W138"/>
    <mergeCell ref="X138:Y138"/>
    <mergeCell ref="G139:J139"/>
    <mergeCell ref="K139:N139"/>
    <mergeCell ref="O139:Q139"/>
    <mergeCell ref="R139:S139"/>
    <mergeCell ref="X139:Y139"/>
    <mergeCell ref="V140:W140"/>
    <mergeCell ref="X140:Y140"/>
    <mergeCell ref="C139:F139"/>
    <mergeCell ref="C140:F140"/>
    <mergeCell ref="G140:J140"/>
    <mergeCell ref="K140:N140"/>
    <mergeCell ref="O140:Q140"/>
    <mergeCell ref="R140:S140"/>
    <mergeCell ref="T140:U140"/>
    <mergeCell ref="C141:F141"/>
    <mergeCell ref="C143:F143"/>
    <mergeCell ref="G143:J143"/>
    <mergeCell ref="C144:F144"/>
    <mergeCell ref="G144:J144"/>
    <mergeCell ref="K144:N144"/>
    <mergeCell ref="O144:Q144"/>
    <mergeCell ref="V141:W141"/>
    <mergeCell ref="V144:W144"/>
    <mergeCell ref="X144:Y144"/>
    <mergeCell ref="G141:J141"/>
    <mergeCell ref="K141:N141"/>
    <mergeCell ref="O141:Q141"/>
    <mergeCell ref="R141:S141"/>
    <mergeCell ref="T141:U141"/>
    <mergeCell ref="X141:Y141"/>
    <mergeCell ref="K143:W143"/>
    <mergeCell ref="T145:U145"/>
    <mergeCell ref="V145:W145"/>
    <mergeCell ref="R144:S144"/>
    <mergeCell ref="T144:U144"/>
    <mergeCell ref="C145:F145"/>
    <mergeCell ref="G145:J145"/>
    <mergeCell ref="K145:N145"/>
    <mergeCell ref="O145:Q145"/>
    <mergeCell ref="R145:S145"/>
    <mergeCell ref="R124:S124"/>
    <mergeCell ref="T124:U124"/>
    <mergeCell ref="C123:F123"/>
    <mergeCell ref="G123:J123"/>
    <mergeCell ref="K123:W123"/>
    <mergeCell ref="C124:F124"/>
    <mergeCell ref="G124:J124"/>
    <mergeCell ref="K124:N124"/>
    <mergeCell ref="O124:Q124"/>
    <mergeCell ref="G125:J125"/>
    <mergeCell ref="K125:N125"/>
    <mergeCell ref="O125:Q125"/>
    <mergeCell ref="R125:S125"/>
    <mergeCell ref="T125:U125"/>
    <mergeCell ref="V125:W125"/>
    <mergeCell ref="X125:Y125"/>
    <mergeCell ref="V126:W126"/>
    <mergeCell ref="X126:Y126"/>
    <mergeCell ref="C125:F125"/>
    <mergeCell ref="C126:F126"/>
    <mergeCell ref="G126:J126"/>
    <mergeCell ref="K126:N126"/>
    <mergeCell ref="O126:Q126"/>
    <mergeCell ref="R126:S126"/>
    <mergeCell ref="T126:U126"/>
    <mergeCell ref="R130:S130"/>
    <mergeCell ref="T130:U130"/>
    <mergeCell ref="V130:W130"/>
    <mergeCell ref="X130:Y130"/>
    <mergeCell ref="C146:F146"/>
    <mergeCell ref="G146:J146"/>
    <mergeCell ref="K146:N146"/>
    <mergeCell ref="O146:Q146"/>
    <mergeCell ref="R146:S146"/>
    <mergeCell ref="T146:U146"/>
    <mergeCell ref="V146:W1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38.0"/>
  </cols>
  <sheetData>
    <row r="1" ht="28.5" customHeight="1">
      <c r="A1" s="76" t="s">
        <v>373</v>
      </c>
      <c r="D1" s="4"/>
      <c r="E1" s="4"/>
      <c r="F1" s="4"/>
      <c r="G1" s="4"/>
      <c r="H1" s="4"/>
    </row>
    <row r="2" ht="36.0" customHeight="1">
      <c r="A2" s="5" t="s">
        <v>1</v>
      </c>
      <c r="B2" s="77" t="s">
        <v>374</v>
      </c>
      <c r="C2" s="78" t="s">
        <v>375</v>
      </c>
    </row>
    <row r="3" ht="30.0" customHeight="1">
      <c r="A3" s="6">
        <v>1.0</v>
      </c>
      <c r="B3" s="79" t="s">
        <v>111</v>
      </c>
      <c r="C3" s="80" t="s">
        <v>376</v>
      </c>
    </row>
    <row r="4" ht="30.0" customHeight="1">
      <c r="A4" s="6">
        <f t="shared" ref="A4:A18" si="1">A3+1</f>
        <v>2</v>
      </c>
      <c r="B4" s="79" t="s">
        <v>82</v>
      </c>
      <c r="C4" s="80" t="s">
        <v>82</v>
      </c>
    </row>
    <row r="5" ht="30.0" customHeight="1">
      <c r="A5" s="6">
        <f t="shared" si="1"/>
        <v>3</v>
      </c>
      <c r="B5" s="79" t="s">
        <v>139</v>
      </c>
      <c r="C5" s="80" t="s">
        <v>377</v>
      </c>
    </row>
    <row r="6" ht="30.0" customHeight="1">
      <c r="A6" s="6">
        <f t="shared" si="1"/>
        <v>4</v>
      </c>
      <c r="B6" s="79" t="s">
        <v>148</v>
      </c>
      <c r="C6" s="80" t="s">
        <v>378</v>
      </c>
    </row>
    <row r="7" ht="30.0" customHeight="1">
      <c r="A7" s="6">
        <f t="shared" si="1"/>
        <v>5</v>
      </c>
      <c r="B7" s="79" t="s">
        <v>222</v>
      </c>
      <c r="C7" s="80" t="s">
        <v>379</v>
      </c>
    </row>
    <row r="8" ht="30.0" customHeight="1">
      <c r="A8" s="6">
        <f t="shared" si="1"/>
        <v>6</v>
      </c>
      <c r="B8" s="79" t="s">
        <v>212</v>
      </c>
      <c r="C8" s="80" t="s">
        <v>380</v>
      </c>
    </row>
    <row r="9" ht="30.0" customHeight="1">
      <c r="A9" s="6">
        <f t="shared" si="1"/>
        <v>7</v>
      </c>
      <c r="B9" s="79" t="s">
        <v>381</v>
      </c>
      <c r="C9" s="80" t="s">
        <v>382</v>
      </c>
    </row>
    <row r="10" ht="30.0" customHeight="1">
      <c r="A10" s="6">
        <f t="shared" si="1"/>
        <v>8</v>
      </c>
      <c r="B10" s="79" t="s">
        <v>133</v>
      </c>
      <c r="C10" s="80" t="s">
        <v>182</v>
      </c>
    </row>
    <row r="11" ht="30.0" customHeight="1">
      <c r="A11" s="6">
        <f t="shared" si="1"/>
        <v>9</v>
      </c>
      <c r="B11" s="79" t="s">
        <v>98</v>
      </c>
      <c r="C11" s="80" t="s">
        <v>383</v>
      </c>
    </row>
    <row r="12" ht="30.0" customHeight="1">
      <c r="A12" s="6">
        <f t="shared" si="1"/>
        <v>10</v>
      </c>
      <c r="B12" s="79" t="s">
        <v>384</v>
      </c>
      <c r="C12" s="80" t="s">
        <v>385</v>
      </c>
    </row>
    <row r="13" ht="30.0" customHeight="1">
      <c r="A13" s="6">
        <f t="shared" si="1"/>
        <v>11</v>
      </c>
      <c r="B13" s="79" t="s">
        <v>386</v>
      </c>
      <c r="C13" s="80" t="s">
        <v>387</v>
      </c>
    </row>
    <row r="14" ht="30.0" customHeight="1">
      <c r="A14" s="6">
        <f t="shared" si="1"/>
        <v>12</v>
      </c>
      <c r="B14" s="79" t="s">
        <v>388</v>
      </c>
      <c r="C14" s="80" t="s">
        <v>389</v>
      </c>
    </row>
    <row r="15" ht="30.0" customHeight="1">
      <c r="A15" s="6">
        <f t="shared" si="1"/>
        <v>13</v>
      </c>
      <c r="B15" s="79" t="s">
        <v>390</v>
      </c>
      <c r="C15" s="81" t="s">
        <v>390</v>
      </c>
    </row>
    <row r="16" ht="30.0" customHeight="1">
      <c r="A16" s="6">
        <f t="shared" si="1"/>
        <v>14</v>
      </c>
      <c r="B16" s="79" t="s">
        <v>391</v>
      </c>
      <c r="C16" s="80" t="s">
        <v>385</v>
      </c>
    </row>
    <row r="17" ht="30.0" customHeight="1">
      <c r="A17" s="6">
        <f t="shared" si="1"/>
        <v>15</v>
      </c>
      <c r="B17" s="79" t="s">
        <v>392</v>
      </c>
      <c r="C17" s="80" t="s">
        <v>393</v>
      </c>
    </row>
    <row r="18" ht="27.75" customHeight="1">
      <c r="A18" s="6">
        <f t="shared" si="1"/>
        <v>16</v>
      </c>
      <c r="B18" s="79" t="s">
        <v>394</v>
      </c>
      <c r="C18" s="80" t="s">
        <v>395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C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63"/>
    <col customWidth="1" min="2" max="2" width="22.25"/>
    <col customWidth="1" min="3" max="3" width="13.38"/>
    <col customWidth="1" min="4" max="4" width="3.88"/>
    <col customWidth="1" min="5" max="5" width="8.75"/>
    <col customWidth="1" min="6" max="6" width="6.13"/>
    <col customWidth="1" min="7" max="9" width="3.88"/>
    <col customWidth="1" min="10" max="10" width="10.88"/>
    <col customWidth="1" min="11" max="22" width="3.88"/>
    <col customWidth="1" min="23" max="23" width="5.88"/>
    <col customWidth="1" min="24" max="24" width="17.0"/>
    <col customWidth="1" min="25" max="25" width="30.38"/>
  </cols>
  <sheetData>
    <row r="1" ht="25.5" customHeight="1">
      <c r="A1" s="82" t="s">
        <v>396</v>
      </c>
    </row>
    <row r="2" ht="30.75" customHeight="1">
      <c r="A2" s="76" t="s">
        <v>397</v>
      </c>
    </row>
    <row r="3" ht="25.5" customHeight="1">
      <c r="A3" s="83" t="s">
        <v>1</v>
      </c>
      <c r="B3" s="84" t="s">
        <v>2</v>
      </c>
      <c r="C3" s="85"/>
      <c r="D3" s="85"/>
      <c r="E3" s="86"/>
      <c r="F3" s="84" t="s">
        <v>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6"/>
      <c r="X3" s="84" t="s">
        <v>4</v>
      </c>
      <c r="Y3" s="87"/>
    </row>
    <row r="4" ht="30.0" customHeight="1">
      <c r="A4" s="6">
        <v>1.0</v>
      </c>
      <c r="B4" s="88" t="str">
        <f>'Inventario Modelo Lógico (corre'!B3</f>
        <v>t_credencial</v>
      </c>
      <c r="C4" s="18"/>
      <c r="D4" s="18"/>
      <c r="E4" s="19"/>
      <c r="F4" s="89" t="str">
        <f>'Inventario Modelo Lógico (corre'!C3</f>
        <v>Almacena los datos de autenticación y acceso único a la red social, separando la seguridad del perfil público.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9"/>
      <c r="X4" s="88"/>
      <c r="Y4" s="19"/>
    </row>
    <row r="5" ht="30.0" customHeight="1">
      <c r="A5" s="6">
        <f t="shared" ref="A5:A35" si="1">A4+1</f>
        <v>2</v>
      </c>
      <c r="B5" s="88" t="str">
        <f>'Inventario Modelo Lógico (corre'!B4</f>
        <v>t_usuario</v>
      </c>
      <c r="C5" s="18"/>
      <c r="D5" s="18"/>
      <c r="E5" s="19"/>
      <c r="F5" s="89" t="str">
        <f>'Inventario Modelo Lógico (corre'!C4</f>
        <v>Tabla central que vincula la identidad legal con el perfil social del usuario.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9"/>
      <c r="X5" s="88"/>
      <c r="Y5" s="19"/>
    </row>
    <row r="6" ht="30.0" customHeight="1">
      <c r="A6" s="6">
        <f t="shared" si="1"/>
        <v>3</v>
      </c>
      <c r="B6" s="88" t="str">
        <f>'Inventario Modelo Lógico (corre'!B5</f>
        <v>t_biografia</v>
      </c>
      <c r="C6" s="18"/>
      <c r="D6" s="18"/>
      <c r="E6" s="19"/>
      <c r="F6" s="89" t="str">
        <f>'Inventario Modelo Lógico (corre'!C5</f>
        <v>Tabla central que contiene el perfil de estudiantes/ usuario			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9"/>
      <c r="X6" s="88"/>
      <c r="Y6" s="19"/>
    </row>
    <row r="7" ht="30.0" customHeight="1">
      <c r="A7" s="6">
        <f t="shared" si="1"/>
        <v>4</v>
      </c>
      <c r="B7" s="88" t="str">
        <f>'Inventario Modelo Lógico (corre'!B6</f>
        <v>t_info_academica</v>
      </c>
      <c r="C7" s="18"/>
      <c r="D7" s="18"/>
      <c r="E7" s="19"/>
      <c r="F7" s="89" t="str">
        <f>'Inventario Modelo Lógico (corre'!C6</f>
        <v>Permite que el usuario registre cada uno de sus estudios de forma
 independiente (Grado, Posgrado, Cursos).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9"/>
      <c r="X7" s="88"/>
      <c r="Y7" s="19"/>
    </row>
    <row r="8" ht="30.0" customHeight="1">
      <c r="A8" s="6">
        <f t="shared" si="1"/>
        <v>5</v>
      </c>
      <c r="B8" s="88" t="str">
        <f>'Inventario Modelo Lógico (corre'!B7</f>
        <v>t_info_exp_profesional 			</v>
      </c>
      <c r="C8" s="18"/>
      <c r="D8" s="18"/>
      <c r="E8" s="19"/>
      <c r="F8" s="89" t="str">
        <f>'Inventario Modelo Lógico (corre'!C7</f>
        <v>En esta tabla el usuario consignará la información detallada de su trayectoria laboral previa o actual.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9"/>
      <c r="X8" s="88"/>
      <c r="Y8" s="19"/>
    </row>
    <row r="9" ht="30.0" customHeight="1">
      <c r="A9" s="6">
        <f t="shared" si="1"/>
        <v>6</v>
      </c>
      <c r="B9" s="88" t="str">
        <f>'Inventario Modelo Lógico (corre'!B8</f>
        <v>t_info_habilidades</v>
      </c>
      <c r="C9" s="18"/>
      <c r="D9" s="18"/>
      <c r="E9" s="19"/>
      <c r="F9" s="89" t="str">
        <f>'Inventario Modelo Lógico (corre'!C8</f>
        <v>Almacena las competencias técnicas y blandas de los usuarios, permitiendo categorizar su nivel de dominio.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9"/>
      <c r="X9" s="88"/>
      <c r="Y9" s="19"/>
    </row>
    <row r="10" ht="30.0" customHeight="1">
      <c r="A10" s="6">
        <f t="shared" si="1"/>
        <v>7</v>
      </c>
      <c r="B10" s="88" t="str">
        <f>'Inventario Modelo Lógico (corre'!B9</f>
        <v>t_nombre_completo</v>
      </c>
      <c r="C10" s="18"/>
      <c r="D10" s="18"/>
      <c r="E10" s="19"/>
      <c r="F10" s="89" t="str">
        <f>'Inventario Modelo Lógico (corre'!C9</f>
        <v>Desglose atómico de los nombres y apellidos para permitir búsquedas y ordenamiento eficiente en la plataforma.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9"/>
      <c r="X10" s="88"/>
      <c r="Y10" s="19"/>
    </row>
    <row r="11" ht="30.0" customHeight="1">
      <c r="A11" s="6">
        <f t="shared" si="1"/>
        <v>8</v>
      </c>
      <c r="B11" s="88" t="str">
        <f>'Inventario Modelo Lógico (corre'!B10</f>
        <v>t_dependencia_academica</v>
      </c>
      <c r="C11" s="18"/>
      <c r="D11" s="18"/>
      <c r="E11" s="19"/>
      <c r="F11" s="89" t="str">
        <f>'Inventario Modelo Lógico (corre'!C10</f>
        <v>Tabla de relación que vincula a los usuarios con sus respectivas unidades o facultades, permitiendo la trazabilidad de su ingreso.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9"/>
      <c r="X11" s="88"/>
      <c r="Y11" s="19"/>
    </row>
    <row r="12" ht="30.0" customHeight="1">
      <c r="A12" s="6">
        <f t="shared" si="1"/>
        <v>9</v>
      </c>
      <c r="B12" s="88" t="str">
        <f>'Inventario Modelo Lógico (corre'!B11</f>
        <v>t_maestra_dependencia_academica</v>
      </c>
      <c r="C12" s="18"/>
      <c r="D12" s="18"/>
      <c r="E12" s="19"/>
      <c r="F12" s="89" t="str">
        <f>'Inventario Modelo Lógico (corre'!C11</f>
        <v>Catálogo centralizado que contiene los nombres oficiales de las unidades, facultades o dependencias de la institución.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9"/>
      <c r="X12" s="88"/>
      <c r="Y12" s="19"/>
    </row>
    <row r="13" ht="30.0" customHeight="1">
      <c r="A13" s="6">
        <f t="shared" si="1"/>
        <v>10</v>
      </c>
      <c r="B13" s="88" t="str">
        <f>'Inventario Modelo Lógico (corre'!B12</f>
        <v>t_rol_usuario</v>
      </c>
      <c r="C13" s="18"/>
      <c r="D13" s="18"/>
      <c r="E13" s="19"/>
      <c r="F13" s="89" t="str">
        <f>'Inventario Modelo Lógico (corre'!C12</f>
        <v>Tabla de intersección que clasifica a los usuarios según sus funciones en la institución, permitiendo la multirrolidad.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9"/>
      <c r="X13" s="88"/>
      <c r="Y13" s="19"/>
    </row>
    <row r="14" ht="30.0" customHeight="1">
      <c r="A14" s="6">
        <f t="shared" si="1"/>
        <v>11</v>
      </c>
      <c r="B14" s="88" t="str">
        <f>'Inventario Modelo Lógico (corre'!B13</f>
        <v>t_maestra_rol</v>
      </c>
      <c r="C14" s="18"/>
      <c r="D14" s="18"/>
      <c r="E14" s="19"/>
      <c r="F14" s="89" t="str">
        <f>'Inventario Modelo Lógico (corre'!C13</f>
        <v>Clasificación del perfil (estudiante, docente, empleado, egresado, externo). Permite que un usuario tenga más de un rol simultáneamente.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9"/>
      <c r="X14" s="88"/>
      <c r="Y14" s="19"/>
    </row>
    <row r="15" ht="30.0" customHeight="1">
      <c r="A15" s="6">
        <f t="shared" si="1"/>
        <v>12</v>
      </c>
      <c r="B15" s="88" t="str">
        <f>'Inventario Modelo Lógico (corre'!B14</f>
        <v>t_publicacion</v>
      </c>
      <c r="C15" s="18"/>
      <c r="D15" s="18"/>
      <c r="E15" s="19"/>
      <c r="F15" s="89" t="str">
        <f>'Inventario Modelo Lógico (corre'!C14</f>
        <v>Almacena el contenido generado por los usuarios para la interacción en la red social.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9"/>
      <c r="X15" s="88"/>
      <c r="Y15" s="19"/>
    </row>
    <row r="16" ht="30.0" customHeight="1">
      <c r="A16" s="6">
        <f t="shared" si="1"/>
        <v>13</v>
      </c>
      <c r="B16" s="88" t="str">
        <f>'Inventario Modelo Lógico (corre'!B15</f>
        <v>t_maestra_publicacion</v>
      </c>
      <c r="C16" s="18"/>
      <c r="D16" s="18"/>
      <c r="E16" s="19"/>
      <c r="F16" s="89" t="str">
        <f>'Inventario Modelo Lógico (corre'!C15</f>
        <v>Catálogo que define los estados posibles de una publicación y sus reglas de interacción.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9"/>
      <c r="X16" s="88"/>
      <c r="Y16" s="19"/>
    </row>
    <row r="17" ht="30.0" customHeight="1">
      <c r="A17" s="6">
        <f t="shared" si="1"/>
        <v>14</v>
      </c>
      <c r="B17" s="88" t="str">
        <f>'Inventario Modelo Lógico (corre'!B16</f>
        <v>t_maestra_tipo_publicacion</v>
      </c>
      <c r="C17" s="18"/>
      <c r="D17" s="18"/>
      <c r="E17" s="19"/>
      <c r="F17" s="89" t="str">
        <f>'Inventario Modelo Lógico (corre'!C16</f>
        <v>Catálogo que centraliza los tipos de contenido permitidos. Evita que el sistema tenga que procesar texto repetitivo y facilita el filtrado.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9"/>
      <c r="X17" s="88"/>
      <c r="Y17" s="19"/>
    </row>
    <row r="18" ht="30.0" customHeight="1">
      <c r="A18" s="6">
        <f t="shared" si="1"/>
        <v>15</v>
      </c>
      <c r="B18" s="88" t="str">
        <f>'Inventario Modelo Lógico (corre'!B17</f>
        <v>t_grupo</v>
      </c>
      <c r="C18" s="18"/>
      <c r="D18" s="18"/>
      <c r="E18" s="19"/>
      <c r="F18" s="89" t="str">
        <f>'Inventario Modelo Lógico (corre'!C17</f>
        <v>Tabla para las comunidades internas creadas por los usuarios de la red.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9"/>
      <c r="X18" s="88"/>
      <c r="Y18" s="19"/>
    </row>
    <row r="19" ht="30.0" customHeight="1">
      <c r="A19" s="6">
        <f t="shared" si="1"/>
        <v>16</v>
      </c>
      <c r="B19" s="88" t="str">
        <f>'Inventario Modelo Lógico (corre'!B18</f>
        <v>t_tipo_grupo</v>
      </c>
      <c r="C19" s="18"/>
      <c r="D19" s="18"/>
      <c r="E19" s="19"/>
      <c r="F19" s="89" t="str">
        <f>'Inventario Modelo Lógico (corre'!C18</f>
        <v>Clasifica los grupos en temas. Al ser una relación de muchos a muchos, permite que un grupo tenga varias etiquetas simultáneamente.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88"/>
      <c r="Y19" s="19"/>
    </row>
    <row r="20" ht="30.0" customHeight="1">
      <c r="A20" s="6">
        <f t="shared" si="1"/>
        <v>17</v>
      </c>
      <c r="B20" s="88" t="str">
        <f>'Inventario Modelo Lógico (corre'!B19</f>
        <v>t_maestra_tipo_grupo</v>
      </c>
      <c r="C20" s="18"/>
      <c r="D20" s="18"/>
      <c r="E20" s="19"/>
      <c r="F20" s="89" t="str">
        <f>'Inventario Modelo Lógico (corre'!C19</f>
        <v>Catálogo centralizado de temáticas o etiquetas para los grupos. Permite la existencia de categorías sin dependencia de registros activos.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88"/>
      <c r="Y20" s="19"/>
    </row>
    <row r="21" ht="30.0" customHeight="1">
      <c r="A21" s="6">
        <f t="shared" si="1"/>
        <v>18</v>
      </c>
      <c r="B21" s="88" t="str">
        <f>'Inventario Modelo Lógico (corre'!B20</f>
        <v>t_regla_grupo</v>
      </c>
      <c r="C21" s="18"/>
      <c r="D21" s="18"/>
      <c r="E21" s="19"/>
      <c r="F21" s="89" t="str">
        <f>'Inventario Modelo Lógico (corre'!C20</f>
        <v>Almacena las normas específicas por grupo. Permite la visualización de reglas como listas ordenadas e independientes para mejorar la legibilidad.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9"/>
      <c r="X21" s="88"/>
      <c r="Y21" s="19"/>
    </row>
    <row r="22" ht="30.0" customHeight="1">
      <c r="A22" s="6">
        <f t="shared" si="1"/>
        <v>19</v>
      </c>
      <c r="B22" s="88" t="str">
        <f>'Inventario Modelo Lógico (corre'!B21</f>
        <v>t_usuario_grupo			</v>
      </c>
      <c r="C22" s="18"/>
      <c r="D22" s="18"/>
      <c r="E22" s="19"/>
      <c r="F22" s="89" t="str">
        <f>'Inventario Modelo Lógico (corre'!C21</f>
        <v>Su función es clasificar a los grupos en diferentes temas, Permite que un mismo grupo pueda tener varias etiquetas a la vez.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9"/>
      <c r="X22" s="88"/>
      <c r="Y22" s="19"/>
    </row>
    <row r="23" ht="30.0" customHeight="1">
      <c r="A23" s="6">
        <f t="shared" si="1"/>
        <v>20</v>
      </c>
      <c r="B23" s="88" t="str">
        <f>'Inventario Modelo Lógico (corre'!B22</f>
        <v>t_evento</v>
      </c>
      <c r="C23" s="18"/>
      <c r="D23" s="18"/>
      <c r="E23" s="19"/>
      <c r="F23" s="89" t="str">
        <f>'Inventario Modelo Lógico (corre'!C22</f>
        <v>Registro detallado de actividades, talleres y agendas académicas o sociales de la red.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9"/>
      <c r="X23" s="88"/>
      <c r="Y23" s="19"/>
    </row>
    <row r="24" ht="30.0" customHeight="1">
      <c r="A24" s="6">
        <f t="shared" si="1"/>
        <v>21</v>
      </c>
      <c r="B24" s="88" t="str">
        <f>'Inventario Modelo Lógico (corre'!B23</f>
        <v>t_maestra_ubicacion</v>
      </c>
      <c r="C24" s="18"/>
      <c r="D24" s="18"/>
      <c r="E24" s="19"/>
      <c r="F24" s="89" t="str">
        <f>'Inventario Modelo Lógico (corre'!C23</f>
        <v>Catálogo de espacios físicos y virtuales del campus. Evita que los detalles del lugar (como el bloque o 
el enlace virtual) dependan directamente del evento.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9"/>
      <c r="X24" s="88"/>
      <c r="Y24" s="19"/>
    </row>
    <row r="25" ht="30.0" customHeight="1">
      <c r="A25" s="6">
        <f t="shared" si="1"/>
        <v>22</v>
      </c>
      <c r="B25" s="88" t="str">
        <f>'Inventario Modelo Lógico (corre'!B24</f>
        <v>t_categoria_evento</v>
      </c>
      <c r="C25" s="18"/>
      <c r="D25" s="18"/>
      <c r="E25" s="19"/>
      <c r="F25" s="89" t="str">
        <f>'Inventario Modelo Lógico (corre'!C24</f>
        <v>permite la clasificación múltiple de un evento. Vincula un evento con una o varias etiquetas temáticas de la tabla maestra.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9"/>
      <c r="X25" s="88"/>
      <c r="Y25" s="19"/>
    </row>
    <row r="26" ht="30.0" customHeight="1">
      <c r="A26" s="6">
        <f t="shared" si="1"/>
        <v>23</v>
      </c>
      <c r="B26" s="90" t="s">
        <v>398</v>
      </c>
      <c r="C26" s="18"/>
      <c r="D26" s="18"/>
      <c r="E26" s="19"/>
      <c r="F26" s="89" t="str">
        <f>'Inventario Modelo Lógico (corre'!C25</f>
        <v>Permite que un mismo grupo pueda tener varias etiquetas a la vez
(ej. académico e investigación)."                        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9"/>
      <c r="X26" s="88"/>
      <c r="Y26" s="19"/>
    </row>
    <row r="27" ht="30.0" customHeight="1">
      <c r="A27" s="6">
        <f t="shared" si="1"/>
        <v>24</v>
      </c>
      <c r="B27" s="88" t="str">
        <f>'Inventario Modelo Lógico (corre'!B26</f>
        <v>t_bolsa_empleo</v>
      </c>
      <c r="C27" s="18"/>
      <c r="D27" s="18"/>
      <c r="E27" s="19"/>
      <c r="F27" s="89" t="str">
        <f>'Inventario Modelo Lógico (corre'!C26</f>
        <v>Repositorio de ofertas laborales			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9"/>
      <c r="X27" s="88"/>
      <c r="Y27" s="19"/>
    </row>
    <row r="28" ht="30.0" customHeight="1">
      <c r="A28" s="6">
        <f t="shared" si="1"/>
        <v>25</v>
      </c>
      <c r="B28" s="88" t="str">
        <f>'Inventario Modelo Lógico (corre'!B27</f>
        <v>t_requerimiento_empleo</v>
      </c>
      <c r="C28" s="18"/>
      <c r="D28" s="18"/>
      <c r="E28" s="19"/>
      <c r="F28" s="89" t="str">
        <f>'Inventario Modelo Lógico (corre'!C27</f>
        <v>Es el Listado de aptitudes necesarias para una vacante.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9"/>
      <c r="X28" s="88"/>
      <c r="Y28" s="19"/>
    </row>
    <row r="29" ht="35.25" customHeight="1">
      <c r="A29" s="6">
        <f t="shared" si="1"/>
        <v>26</v>
      </c>
      <c r="B29" s="88" t="str">
        <f>'Inventario Modelo Lógico (corre'!B28</f>
        <v>t_cambalache_store			</v>
      </c>
      <c r="C29" s="18"/>
      <c r="D29" s="18"/>
      <c r="E29" s="19"/>
      <c r="F29" s="89" t="str">
        <f>'Inventario Modelo Lógico (corre'!C28</f>
        <v>Catálogo de productos			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9"/>
      <c r="X29" s="88"/>
      <c r="Y29" s="19"/>
    </row>
    <row r="30" ht="35.25" customHeight="1">
      <c r="A30" s="6">
        <f t="shared" si="1"/>
        <v>27</v>
      </c>
      <c r="B30" s="88" t="str">
        <f>'Inventario Modelo Lógico (corre'!B29</f>
        <v>t_maestra_categoria_producto</v>
      </c>
      <c r="C30" s="18"/>
      <c r="D30" s="18"/>
      <c r="E30" s="19"/>
      <c r="F30" s="89" t="str">
        <f>'Inventario Modelo Lógico (corre'!C29</f>
        <v>Catálogo de tipos de productos permitidos en el Cambalache Store.
 Esto permite organizar el inventario y facilitar la búsqueda por secciones."                        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9"/>
      <c r="X30" s="88"/>
      <c r="Y30" s="19"/>
    </row>
    <row r="31" ht="35.25" customHeight="1">
      <c r="A31" s="6">
        <f t="shared" si="1"/>
        <v>28</v>
      </c>
      <c r="B31" s="88" t="str">
        <f>'Inventario Modelo Lógico (corre'!B30</f>
        <v>t_maestra_estado_producto</v>
      </c>
      <c r="C31" s="18"/>
      <c r="D31" s="18"/>
      <c r="E31" s="19"/>
      <c r="F31" s="89" t="str">
        <f>'Inventario Modelo Lógico (corre'!C30</f>
        <v>Define la disponibilidad de los artículos en el mercado interno. Permite el control automatizado de la visibilidad de los anuncios.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9"/>
      <c r="X31" s="88"/>
      <c r="Y31" s="19"/>
    </row>
    <row r="32" ht="35.25" customHeight="1">
      <c r="A32" s="6">
        <f t="shared" si="1"/>
        <v>29</v>
      </c>
      <c r="B32" s="88" t="str">
        <f>'Inventario Modelo Lógico (corre'!B31</f>
        <v>t_mensajeria</v>
      </c>
      <c r="C32" s="18"/>
      <c r="D32" s="18"/>
      <c r="E32" s="19"/>
      <c r="F32" s="89" t="str">
        <f>'Inventario Modelo Lógico (corre'!C31</f>
        <v>Registros de mensajes privados entre usuarios.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9"/>
      <c r="X32" s="88"/>
      <c r="Y32" s="19"/>
    </row>
    <row r="33" ht="35.25" customHeight="1">
      <c r="A33" s="6">
        <f t="shared" si="1"/>
        <v>30</v>
      </c>
      <c r="B33" s="88" t="str">
        <f>'Inventario Modelo Lógico (corre'!B32</f>
        <v>t_maestra_estado_msj</v>
      </c>
      <c r="C33" s="18"/>
      <c r="D33" s="18"/>
      <c r="E33" s="19"/>
      <c r="F33" s="89" t="str">
        <f>'Inventario Modelo Lógico (corre'!C32</f>
        <v>Centraliza los posibles estados de un mensaje privado. Esto permite
que el sistema gestione la confirmación de lectura y entrega mediante IDs únicos, facilitando futuras métricas o cambios en las reglas de visualización.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9"/>
      <c r="X33" s="88"/>
      <c r="Y33" s="19"/>
    </row>
    <row r="34" ht="35.25" customHeight="1">
      <c r="A34" s="6">
        <f t="shared" si="1"/>
        <v>31</v>
      </c>
      <c r="B34" s="88" t="str">
        <f>'Inventario Modelo Lógico (corre'!B33</f>
        <v>t_usuario_evento</v>
      </c>
      <c r="C34" s="18"/>
      <c r="D34" s="18"/>
      <c r="E34" s="19"/>
      <c r="F34" s="89" t="str">
        <f>'Inventario Modelo Lógico (corre'!C33</f>
        <v>Gestiona la inscripción y confirmación de asistencia de los usuarios a los eventos institucionales.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9"/>
      <c r="X34" s="88"/>
      <c r="Y34" s="19"/>
    </row>
    <row r="35" ht="35.25" customHeight="1">
      <c r="A35" s="6">
        <f t="shared" si="1"/>
        <v>32</v>
      </c>
      <c r="B35" s="88" t="str">
        <f>'Inventario Modelo Lógico (corre'!B34</f>
        <v>t_usuario_usuario</v>
      </c>
      <c r="C35" s="18"/>
      <c r="D35" s="18"/>
      <c r="E35" s="19"/>
      <c r="F35" s="89" t="str">
        <f>'Inventario Modelo Lógico (corre'!C34</f>
        <v>Gestiona el seguimiento y las conexiones entre perfiles de la red.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9"/>
      <c r="X35" s="88"/>
      <c r="Y35" s="19"/>
    </row>
    <row r="36" ht="35.25" customHeight="1">
      <c r="A36" s="4"/>
      <c r="B36" s="4"/>
      <c r="C36" s="4"/>
      <c r="D36" s="4"/>
      <c r="E36" s="4"/>
      <c r="F36" s="4"/>
      <c r="X36" s="4"/>
      <c r="Y36" s="4"/>
    </row>
    <row r="37" ht="15.75" customHeight="1"/>
    <row r="38" ht="15.75" customHeight="1">
      <c r="A38" s="91" t="s">
        <v>69</v>
      </c>
    </row>
    <row r="39" ht="15.7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</row>
    <row r="40" ht="15.75" customHeight="1">
      <c r="A40" s="93">
        <v>1.0</v>
      </c>
      <c r="B40" s="94" t="s">
        <v>2</v>
      </c>
      <c r="C40" s="95" t="str">
        <f>B4</f>
        <v>t_credencial</v>
      </c>
      <c r="D40" s="18"/>
      <c r="E40" s="18"/>
      <c r="F40" s="19"/>
      <c r="G40" s="94" t="s">
        <v>3</v>
      </c>
      <c r="H40" s="18"/>
      <c r="I40" s="18"/>
      <c r="J40" s="19"/>
      <c r="K40" s="96" t="str">
        <f>F4</f>
        <v>Almacena los datos de autenticación y acceso único a la red social, separando la seguridad del perfil público.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9"/>
      <c r="X40" s="97" t="s">
        <v>70</v>
      </c>
      <c r="Y40" s="98">
        <v>2.0</v>
      </c>
      <c r="Z40" s="51"/>
    </row>
    <row r="41" ht="15.75" customHeight="1">
      <c r="A41" s="97" t="s">
        <v>1</v>
      </c>
      <c r="B41" s="97" t="s">
        <v>71</v>
      </c>
      <c r="C41" s="94" t="s">
        <v>72</v>
      </c>
      <c r="D41" s="18"/>
      <c r="E41" s="18"/>
      <c r="F41" s="19"/>
      <c r="G41" s="94" t="s">
        <v>399</v>
      </c>
      <c r="H41" s="18"/>
      <c r="I41" s="18"/>
      <c r="J41" s="19"/>
      <c r="K41" s="94" t="s">
        <v>74</v>
      </c>
      <c r="L41" s="18"/>
      <c r="M41" s="18"/>
      <c r="N41" s="19"/>
      <c r="O41" s="94" t="s">
        <v>75</v>
      </c>
      <c r="P41" s="18"/>
      <c r="Q41" s="19"/>
      <c r="R41" s="94" t="s">
        <v>76</v>
      </c>
      <c r="S41" s="19"/>
      <c r="T41" s="94" t="s">
        <v>77</v>
      </c>
      <c r="U41" s="19"/>
      <c r="V41" s="94" t="s">
        <v>78</v>
      </c>
      <c r="W41" s="19"/>
      <c r="X41" s="94" t="s">
        <v>79</v>
      </c>
      <c r="Y41" s="19"/>
    </row>
    <row r="42" ht="15.75" customHeight="1">
      <c r="A42" s="99">
        <v>1.0</v>
      </c>
      <c r="B42" s="100" t="s">
        <v>80</v>
      </c>
      <c r="C42" s="35" t="s">
        <v>81</v>
      </c>
      <c r="D42" s="101"/>
      <c r="E42" s="101"/>
      <c r="F42" s="102"/>
      <c r="G42" s="35" t="s">
        <v>82</v>
      </c>
      <c r="H42" s="18"/>
      <c r="I42" s="18"/>
      <c r="J42" s="19"/>
      <c r="K42" s="101"/>
      <c r="L42" s="18"/>
      <c r="M42" s="18"/>
      <c r="N42" s="19"/>
      <c r="O42" s="101" t="s">
        <v>83</v>
      </c>
      <c r="P42" s="18"/>
      <c r="Q42" s="19"/>
      <c r="R42" s="101" t="s">
        <v>84</v>
      </c>
      <c r="S42" s="19"/>
      <c r="T42" s="101"/>
      <c r="U42" s="19"/>
      <c r="V42" s="101"/>
      <c r="W42" s="19"/>
      <c r="X42" s="35" t="s">
        <v>400</v>
      </c>
      <c r="Y42" s="19"/>
    </row>
    <row r="43" ht="15.75" customHeight="1">
      <c r="A43" s="99">
        <v>2.0</v>
      </c>
      <c r="B43" s="100" t="s">
        <v>86</v>
      </c>
      <c r="C43" s="35" t="s">
        <v>87</v>
      </c>
      <c r="D43" s="101"/>
      <c r="E43" s="101"/>
      <c r="F43" s="102"/>
      <c r="G43" s="35" t="s">
        <v>82</v>
      </c>
      <c r="H43" s="18"/>
      <c r="I43" s="18"/>
      <c r="J43" s="19"/>
      <c r="K43" s="101"/>
      <c r="L43" s="18"/>
      <c r="M43" s="18"/>
      <c r="N43" s="19"/>
      <c r="O43" s="101" t="s">
        <v>83</v>
      </c>
      <c r="P43" s="18"/>
      <c r="Q43" s="19"/>
      <c r="R43" s="101"/>
      <c r="S43" s="19"/>
      <c r="T43" s="101" t="s">
        <v>84</v>
      </c>
      <c r="U43" s="19"/>
      <c r="V43" s="101" t="s">
        <v>84</v>
      </c>
      <c r="W43" s="19"/>
      <c r="X43" s="35" t="s">
        <v>401</v>
      </c>
      <c r="Y43" s="19"/>
    </row>
    <row r="44" ht="16.5" customHeight="1">
      <c r="A44" s="99">
        <v>3.0</v>
      </c>
      <c r="B44" s="100" t="s">
        <v>89</v>
      </c>
      <c r="C44" s="35" t="s">
        <v>90</v>
      </c>
      <c r="D44" s="101"/>
      <c r="E44" s="101"/>
      <c r="F44" s="102"/>
      <c r="G44" s="35" t="s">
        <v>387</v>
      </c>
      <c r="H44" s="18"/>
      <c r="I44" s="18"/>
      <c r="J44" s="19"/>
      <c r="K44" s="35">
        <v>320.0</v>
      </c>
      <c r="L44" s="18"/>
      <c r="M44" s="18"/>
      <c r="N44" s="19"/>
      <c r="O44" s="101" t="s">
        <v>83</v>
      </c>
      <c r="P44" s="18"/>
      <c r="Q44" s="19"/>
      <c r="R44" s="101"/>
      <c r="S44" s="19"/>
      <c r="T44" s="101"/>
      <c r="U44" s="19"/>
      <c r="V44" s="101" t="s">
        <v>84</v>
      </c>
      <c r="W44" s="19"/>
      <c r="X44" s="35" t="s">
        <v>402</v>
      </c>
      <c r="Y44" s="19"/>
    </row>
    <row r="45" ht="15.75" customHeight="1">
      <c r="A45" s="99">
        <v>4.0</v>
      </c>
      <c r="B45" s="100" t="s">
        <v>403</v>
      </c>
      <c r="C45" s="35" t="s">
        <v>94</v>
      </c>
      <c r="D45" s="101"/>
      <c r="E45" s="101"/>
      <c r="F45" s="102"/>
      <c r="G45" s="35" t="s">
        <v>387</v>
      </c>
      <c r="H45" s="18"/>
      <c r="I45" s="18"/>
      <c r="J45" s="19"/>
      <c r="K45" s="35">
        <v>20.0</v>
      </c>
      <c r="L45" s="18"/>
      <c r="M45" s="18"/>
      <c r="N45" s="19"/>
      <c r="O45" s="101" t="s">
        <v>83</v>
      </c>
      <c r="P45" s="18"/>
      <c r="Q45" s="19"/>
      <c r="R45" s="101"/>
      <c r="S45" s="19"/>
      <c r="T45" s="101"/>
      <c r="U45" s="19"/>
      <c r="V45" s="101"/>
      <c r="W45" s="19"/>
      <c r="X45" s="35" t="s">
        <v>404</v>
      </c>
      <c r="Y45" s="19"/>
    </row>
    <row r="46" ht="15.75" customHeight="1">
      <c r="A46" s="99">
        <v>5.0</v>
      </c>
      <c r="B46" s="100" t="s">
        <v>96</v>
      </c>
      <c r="C46" s="35" t="s">
        <v>97</v>
      </c>
      <c r="D46" s="101"/>
      <c r="E46" s="101"/>
      <c r="F46" s="102"/>
      <c r="G46" s="35" t="s">
        <v>405</v>
      </c>
      <c r="H46" s="18"/>
      <c r="I46" s="18"/>
      <c r="J46" s="19"/>
      <c r="K46" s="101"/>
      <c r="L46" s="18"/>
      <c r="M46" s="18"/>
      <c r="N46" s="19"/>
      <c r="O46" s="101" t="s">
        <v>83</v>
      </c>
      <c r="P46" s="18"/>
      <c r="Q46" s="19"/>
      <c r="R46" s="101"/>
      <c r="S46" s="19"/>
      <c r="T46" s="101"/>
      <c r="U46" s="19"/>
      <c r="V46" s="101"/>
      <c r="W46" s="102"/>
      <c r="X46" s="35" t="s">
        <v>406</v>
      </c>
      <c r="Y46" s="19"/>
    </row>
    <row r="47" ht="15.7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</row>
    <row r="48" ht="15.75" customHeight="1">
      <c r="A48" s="93">
        <v>2.0</v>
      </c>
      <c r="B48" s="103" t="s">
        <v>2</v>
      </c>
      <c r="C48" s="104" t="str">
        <f>B5</f>
        <v>t_usuario</v>
      </c>
      <c r="D48" s="18"/>
      <c r="E48" s="18"/>
      <c r="F48" s="19"/>
      <c r="G48" s="103" t="s">
        <v>3</v>
      </c>
      <c r="H48" s="18"/>
      <c r="I48" s="18"/>
      <c r="J48" s="19"/>
      <c r="K48" s="105" t="str">
        <f>F5</f>
        <v>Tabla central que vincula la identidad legal con el perfil social del usuario.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9"/>
      <c r="X48" s="106" t="s">
        <v>70</v>
      </c>
      <c r="Y48" s="98">
        <v>2.0</v>
      </c>
      <c r="Z48" s="51"/>
    </row>
    <row r="49" ht="15.75" customHeight="1">
      <c r="A49" s="106" t="s">
        <v>1</v>
      </c>
      <c r="B49" s="106" t="s">
        <v>71</v>
      </c>
      <c r="C49" s="103" t="s">
        <v>72</v>
      </c>
      <c r="D49" s="18"/>
      <c r="E49" s="18"/>
      <c r="F49" s="19"/>
      <c r="G49" s="103" t="s">
        <v>73</v>
      </c>
      <c r="H49" s="18"/>
      <c r="I49" s="18"/>
      <c r="J49" s="19"/>
      <c r="K49" s="103" t="s">
        <v>74</v>
      </c>
      <c r="L49" s="18"/>
      <c r="M49" s="18"/>
      <c r="N49" s="19"/>
      <c r="O49" s="103" t="s">
        <v>75</v>
      </c>
      <c r="P49" s="18"/>
      <c r="Q49" s="19"/>
      <c r="R49" s="103" t="s">
        <v>76</v>
      </c>
      <c r="S49" s="19"/>
      <c r="T49" s="103" t="s">
        <v>77</v>
      </c>
      <c r="U49" s="19"/>
      <c r="V49" s="103" t="s">
        <v>78</v>
      </c>
      <c r="W49" s="19"/>
      <c r="X49" s="103" t="s">
        <v>79</v>
      </c>
      <c r="Y49" s="19"/>
      <c r="Z49" s="14"/>
    </row>
    <row r="50" ht="15.75" customHeight="1">
      <c r="A50" s="107">
        <v>1.0</v>
      </c>
      <c r="B50" s="24" t="s">
        <v>86</v>
      </c>
      <c r="C50" s="25" t="s">
        <v>100</v>
      </c>
      <c r="D50" s="18"/>
      <c r="E50" s="18"/>
      <c r="F50" s="19"/>
      <c r="G50" s="35" t="s">
        <v>82</v>
      </c>
      <c r="H50" s="18"/>
      <c r="I50" s="18"/>
      <c r="J50" s="19"/>
      <c r="K50" s="27"/>
      <c r="L50" s="18"/>
      <c r="M50" s="18"/>
      <c r="N50" s="19"/>
      <c r="O50" s="25" t="s">
        <v>83</v>
      </c>
      <c r="P50" s="18"/>
      <c r="Q50" s="19"/>
      <c r="R50" s="25" t="s">
        <v>84</v>
      </c>
      <c r="S50" s="19"/>
      <c r="T50" s="27"/>
      <c r="U50" s="19"/>
      <c r="V50" s="27"/>
      <c r="W50" s="19"/>
      <c r="X50" s="25" t="s">
        <v>101</v>
      </c>
      <c r="Y50" s="19"/>
      <c r="Z50" s="14"/>
    </row>
    <row r="51" ht="15.75" customHeight="1">
      <c r="A51" s="108">
        <v>2.0</v>
      </c>
      <c r="B51" s="109" t="s">
        <v>102</v>
      </c>
      <c r="C51" s="110" t="s">
        <v>103</v>
      </c>
      <c r="D51" s="32"/>
      <c r="E51" s="32"/>
      <c r="F51" s="30"/>
      <c r="G51" s="111" t="s">
        <v>387</v>
      </c>
      <c r="H51" s="18"/>
      <c r="I51" s="18"/>
      <c r="J51" s="19"/>
      <c r="K51" s="111">
        <v>30.0</v>
      </c>
      <c r="L51" s="18"/>
      <c r="M51" s="18"/>
      <c r="N51" s="19"/>
      <c r="O51" s="111" t="s">
        <v>83</v>
      </c>
      <c r="P51" s="18"/>
      <c r="Q51" s="19"/>
      <c r="R51" s="112"/>
      <c r="S51" s="19"/>
      <c r="T51" s="112"/>
      <c r="U51" s="19"/>
      <c r="V51" s="112"/>
      <c r="W51" s="19"/>
      <c r="X51" s="111" t="s">
        <v>104</v>
      </c>
      <c r="Y51" s="19"/>
    </row>
    <row r="52">
      <c r="A52" s="108">
        <v>3.0</v>
      </c>
      <c r="B52" s="109" t="s">
        <v>105</v>
      </c>
      <c r="C52" s="113" t="s">
        <v>106</v>
      </c>
      <c r="D52" s="18"/>
      <c r="E52" s="18"/>
      <c r="F52" s="19"/>
      <c r="G52" s="111" t="s">
        <v>107</v>
      </c>
      <c r="H52" s="18"/>
      <c r="I52" s="18"/>
      <c r="J52" s="19"/>
      <c r="K52" s="112"/>
      <c r="L52" s="18"/>
      <c r="M52" s="18"/>
      <c r="N52" s="19"/>
      <c r="O52" s="111" t="s">
        <v>83</v>
      </c>
      <c r="P52" s="18"/>
      <c r="Q52" s="19"/>
      <c r="R52" s="112"/>
      <c r="S52" s="19"/>
      <c r="T52" s="112"/>
      <c r="U52" s="19"/>
      <c r="V52" s="112"/>
      <c r="W52" s="19"/>
      <c r="X52" s="111" t="s">
        <v>108</v>
      </c>
      <c r="Y52" s="19"/>
    </row>
    <row r="53" ht="15.75" customHeight="1"/>
    <row r="54" ht="15.75" customHeight="1">
      <c r="A54" s="15">
        <v>3.0</v>
      </c>
      <c r="B54" s="16" t="s">
        <v>2</v>
      </c>
      <c r="C54" s="17" t="str">
        <f>B6</f>
        <v>t_biografia</v>
      </c>
      <c r="D54" s="18"/>
      <c r="E54" s="18"/>
      <c r="F54" s="19"/>
      <c r="G54" s="16" t="s">
        <v>3</v>
      </c>
      <c r="H54" s="18"/>
      <c r="I54" s="18"/>
      <c r="J54" s="19"/>
      <c r="K54" s="39" t="str">
        <f>F6</f>
        <v>Tabla central que contiene el perfil de estudiantes/ usuario			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9"/>
      <c r="X54" s="21" t="s">
        <v>70</v>
      </c>
      <c r="Y54" s="98">
        <v>2.0</v>
      </c>
      <c r="Z54" s="51"/>
    </row>
    <row r="55" ht="15.75" customHeight="1">
      <c r="A55" s="21" t="s">
        <v>1</v>
      </c>
      <c r="B55" s="21" t="s">
        <v>71</v>
      </c>
      <c r="C55" s="16" t="s">
        <v>72</v>
      </c>
      <c r="D55" s="18"/>
      <c r="E55" s="18"/>
      <c r="F55" s="19"/>
      <c r="G55" s="16" t="s">
        <v>73</v>
      </c>
      <c r="H55" s="18"/>
      <c r="I55" s="18"/>
      <c r="J55" s="19"/>
      <c r="K55" s="16" t="s">
        <v>74</v>
      </c>
      <c r="L55" s="18"/>
      <c r="M55" s="18"/>
      <c r="N55" s="19"/>
      <c r="O55" s="16" t="s">
        <v>75</v>
      </c>
      <c r="P55" s="18"/>
      <c r="Q55" s="19"/>
      <c r="R55" s="16" t="s">
        <v>76</v>
      </c>
      <c r="S55" s="19"/>
      <c r="T55" s="16" t="s">
        <v>77</v>
      </c>
      <c r="U55" s="19"/>
      <c r="V55" s="16" t="s">
        <v>78</v>
      </c>
      <c r="W55" s="19"/>
      <c r="X55" s="16" t="s">
        <v>79</v>
      </c>
      <c r="Y55" s="19"/>
      <c r="Z55" s="14"/>
    </row>
    <row r="56" ht="15.75" customHeight="1">
      <c r="A56" s="23">
        <v>1.0</v>
      </c>
      <c r="B56" s="24" t="s">
        <v>109</v>
      </c>
      <c r="C56" s="25" t="s">
        <v>110</v>
      </c>
      <c r="D56" s="18"/>
      <c r="E56" s="18"/>
      <c r="F56" s="19"/>
      <c r="G56" s="35" t="s">
        <v>376</v>
      </c>
      <c r="H56" s="18"/>
      <c r="I56" s="18"/>
      <c r="J56" s="19"/>
      <c r="K56" s="27"/>
      <c r="L56" s="18"/>
      <c r="M56" s="18"/>
      <c r="N56" s="19"/>
      <c r="O56" s="25" t="s">
        <v>83</v>
      </c>
      <c r="P56" s="18"/>
      <c r="Q56" s="19"/>
      <c r="R56" s="25" t="s">
        <v>84</v>
      </c>
      <c r="S56" s="19"/>
      <c r="T56" s="27"/>
      <c r="U56" s="19"/>
      <c r="V56" s="27"/>
      <c r="W56" s="19"/>
      <c r="X56" s="25" t="s">
        <v>112</v>
      </c>
      <c r="Y56" s="19"/>
      <c r="Z56" s="14"/>
    </row>
    <row r="57" ht="15.75" customHeight="1">
      <c r="A57" s="23">
        <v>2.0</v>
      </c>
      <c r="B57" s="24" t="s">
        <v>86</v>
      </c>
      <c r="C57" s="28" t="s">
        <v>113</v>
      </c>
      <c r="D57" s="18"/>
      <c r="E57" s="18"/>
      <c r="F57" s="19"/>
      <c r="G57" s="35" t="s">
        <v>82</v>
      </c>
      <c r="H57" s="18"/>
      <c r="I57" s="18"/>
      <c r="J57" s="19"/>
      <c r="K57" s="27"/>
      <c r="L57" s="18"/>
      <c r="M57" s="18"/>
      <c r="N57" s="19"/>
      <c r="O57" s="25" t="s">
        <v>83</v>
      </c>
      <c r="P57" s="18"/>
      <c r="Q57" s="19"/>
      <c r="R57" s="27"/>
      <c r="S57" s="19"/>
      <c r="T57" s="25" t="s">
        <v>84</v>
      </c>
      <c r="U57" s="19"/>
      <c r="V57" s="25" t="s">
        <v>84</v>
      </c>
      <c r="W57" s="19"/>
      <c r="X57" s="25" t="s">
        <v>114</v>
      </c>
      <c r="Y57" s="19"/>
      <c r="Z57" s="14"/>
    </row>
    <row r="58" ht="45.0" customHeight="1">
      <c r="A58" s="23">
        <v>3.0</v>
      </c>
      <c r="B58" s="24" t="s">
        <v>115</v>
      </c>
      <c r="C58" s="26" t="s">
        <v>407</v>
      </c>
      <c r="D58" s="18"/>
      <c r="E58" s="18"/>
      <c r="F58" s="19"/>
      <c r="G58" s="26" t="s">
        <v>107</v>
      </c>
      <c r="H58" s="18"/>
      <c r="I58" s="18"/>
      <c r="J58" s="19"/>
      <c r="K58" s="27"/>
      <c r="L58" s="18"/>
      <c r="M58" s="18"/>
      <c r="N58" s="19"/>
      <c r="O58" s="25" t="s">
        <v>117</v>
      </c>
      <c r="P58" s="18"/>
      <c r="Q58" s="19"/>
      <c r="R58" s="27"/>
      <c r="S58" s="19"/>
      <c r="T58" s="27"/>
      <c r="U58" s="19"/>
      <c r="V58" s="27"/>
      <c r="W58" s="19"/>
      <c r="X58" s="28" t="s">
        <v>118</v>
      </c>
      <c r="Y58" s="19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41">
        <v>4.0</v>
      </c>
      <c r="B60" s="42" t="s">
        <v>2</v>
      </c>
      <c r="C60" s="43" t="str">
        <f>B7</f>
        <v>t_info_academica</v>
      </c>
      <c r="D60" s="18"/>
      <c r="E60" s="18"/>
      <c r="F60" s="19"/>
      <c r="G60" s="42" t="s">
        <v>3</v>
      </c>
      <c r="H60" s="18"/>
      <c r="I60" s="18"/>
      <c r="J60" s="19"/>
      <c r="K60" s="39" t="str">
        <f>F7</f>
        <v>Permite que el usuario registre cada uno de sus estudios de forma
 independiente (Grado, Posgrado, Cursos).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9"/>
      <c r="X60" s="44" t="s">
        <v>70</v>
      </c>
      <c r="Y60" s="114">
        <v>2.0</v>
      </c>
      <c r="Z60" s="51"/>
    </row>
    <row r="61" ht="15.75" customHeight="1">
      <c r="A61" s="46" t="s">
        <v>1</v>
      </c>
      <c r="B61" s="44" t="s">
        <v>71</v>
      </c>
      <c r="C61" s="42" t="s">
        <v>72</v>
      </c>
      <c r="D61" s="18"/>
      <c r="E61" s="18"/>
      <c r="F61" s="19"/>
      <c r="G61" s="42" t="s">
        <v>73</v>
      </c>
      <c r="H61" s="18"/>
      <c r="I61" s="18"/>
      <c r="J61" s="19"/>
      <c r="K61" s="42" t="s">
        <v>74</v>
      </c>
      <c r="L61" s="18"/>
      <c r="M61" s="18"/>
      <c r="N61" s="19"/>
      <c r="O61" s="42" t="s">
        <v>75</v>
      </c>
      <c r="P61" s="18"/>
      <c r="Q61" s="19"/>
      <c r="R61" s="42" t="s">
        <v>76</v>
      </c>
      <c r="S61" s="19"/>
      <c r="T61" s="42" t="s">
        <v>77</v>
      </c>
      <c r="U61" s="19"/>
      <c r="V61" s="42" t="s">
        <v>78</v>
      </c>
      <c r="W61" s="19"/>
      <c r="X61" s="42" t="s">
        <v>79</v>
      </c>
      <c r="Y61" s="19"/>
      <c r="Z61" s="14"/>
    </row>
    <row r="62" ht="27.0" customHeight="1">
      <c r="A62" s="47">
        <v>1.0</v>
      </c>
      <c r="B62" s="48" t="s">
        <v>119</v>
      </c>
      <c r="C62" s="49" t="s">
        <v>120</v>
      </c>
      <c r="D62" s="18"/>
      <c r="E62" s="18"/>
      <c r="F62" s="19"/>
      <c r="G62" s="35" t="s">
        <v>376</v>
      </c>
      <c r="H62" s="18"/>
      <c r="I62" s="18"/>
      <c r="J62" s="19"/>
      <c r="K62" s="27"/>
      <c r="L62" s="18"/>
      <c r="M62" s="18"/>
      <c r="N62" s="19"/>
      <c r="O62" s="49" t="s">
        <v>83</v>
      </c>
      <c r="P62" s="18"/>
      <c r="Q62" s="19"/>
      <c r="R62" s="49" t="s">
        <v>84</v>
      </c>
      <c r="S62" s="19"/>
      <c r="T62" s="27"/>
      <c r="U62" s="19"/>
      <c r="V62" s="27"/>
      <c r="W62" s="19"/>
      <c r="X62" s="49" t="s">
        <v>121</v>
      </c>
      <c r="Y62" s="19"/>
      <c r="Z62" s="14"/>
    </row>
    <row r="63" ht="15.75" customHeight="1">
      <c r="A63" s="47">
        <v>2.0</v>
      </c>
      <c r="B63" s="48" t="s">
        <v>109</v>
      </c>
      <c r="C63" s="49" t="s">
        <v>122</v>
      </c>
      <c r="D63" s="18"/>
      <c r="E63" s="18"/>
      <c r="F63" s="19"/>
      <c r="G63" s="35" t="s">
        <v>123</v>
      </c>
      <c r="H63" s="18"/>
      <c r="I63" s="18"/>
      <c r="J63" s="19"/>
      <c r="K63" s="27"/>
      <c r="L63" s="18"/>
      <c r="M63" s="18"/>
      <c r="N63" s="19"/>
      <c r="O63" s="49" t="s">
        <v>83</v>
      </c>
      <c r="P63" s="18"/>
      <c r="Q63" s="19"/>
      <c r="R63" s="27"/>
      <c r="S63" s="19"/>
      <c r="T63" s="49" t="s">
        <v>84</v>
      </c>
      <c r="U63" s="19"/>
      <c r="V63" s="27"/>
      <c r="W63" s="19"/>
      <c r="X63" s="49" t="s">
        <v>124</v>
      </c>
      <c r="Y63" s="19"/>
      <c r="Z63" s="14"/>
    </row>
    <row r="64" ht="15.75" customHeight="1">
      <c r="A64" s="47">
        <v>3.0</v>
      </c>
      <c r="B64" s="48" t="s">
        <v>125</v>
      </c>
      <c r="C64" s="49" t="s">
        <v>126</v>
      </c>
      <c r="D64" s="18"/>
      <c r="E64" s="18"/>
      <c r="F64" s="19"/>
      <c r="G64" s="26" t="s">
        <v>387</v>
      </c>
      <c r="H64" s="18"/>
      <c r="I64" s="18"/>
      <c r="J64" s="19"/>
      <c r="K64" s="53">
        <v>200.0</v>
      </c>
      <c r="L64" s="18"/>
      <c r="M64" s="18"/>
      <c r="N64" s="19"/>
      <c r="O64" s="49" t="s">
        <v>83</v>
      </c>
      <c r="P64" s="18"/>
      <c r="Q64" s="19"/>
      <c r="R64" s="27"/>
      <c r="S64" s="19"/>
      <c r="T64" s="27"/>
      <c r="U64" s="19"/>
      <c r="V64" s="27"/>
      <c r="W64" s="19"/>
      <c r="X64" s="49" t="s">
        <v>127</v>
      </c>
      <c r="Y64" s="19"/>
      <c r="Z64" s="14"/>
    </row>
    <row r="65" ht="15.75" customHeight="1">
      <c r="A65" s="47">
        <v>4.0</v>
      </c>
      <c r="B65" s="48" t="s">
        <v>128</v>
      </c>
      <c r="C65" s="49" t="s">
        <v>129</v>
      </c>
      <c r="D65" s="18"/>
      <c r="E65" s="18"/>
      <c r="F65" s="19"/>
      <c r="G65" s="26" t="s">
        <v>387</v>
      </c>
      <c r="H65" s="18"/>
      <c r="I65" s="18"/>
      <c r="J65" s="19"/>
      <c r="K65" s="53">
        <v>200.0</v>
      </c>
      <c r="L65" s="18"/>
      <c r="M65" s="18"/>
      <c r="N65" s="19"/>
      <c r="O65" s="49" t="s">
        <v>83</v>
      </c>
      <c r="P65" s="18"/>
      <c r="Q65" s="19"/>
      <c r="R65" s="27"/>
      <c r="S65" s="19"/>
      <c r="T65" s="27"/>
      <c r="U65" s="19"/>
      <c r="V65" s="27"/>
      <c r="W65" s="19"/>
      <c r="X65" s="49" t="s">
        <v>130</v>
      </c>
      <c r="Y65" s="19"/>
      <c r="Z65" s="14"/>
    </row>
    <row r="66" ht="15.75" customHeight="1">
      <c r="A66" s="47">
        <v>5.0</v>
      </c>
      <c r="B66" s="115" t="s">
        <v>408</v>
      </c>
      <c r="C66" s="49" t="s">
        <v>132</v>
      </c>
      <c r="D66" s="18"/>
      <c r="E66" s="18"/>
      <c r="F66" s="19"/>
      <c r="G66" s="116" t="s">
        <v>182</v>
      </c>
      <c r="H66" s="32"/>
      <c r="I66" s="32"/>
      <c r="J66" s="30"/>
      <c r="K66" s="27"/>
      <c r="L66" s="18"/>
      <c r="M66" s="18"/>
      <c r="N66" s="19"/>
      <c r="O66" s="49" t="s">
        <v>117</v>
      </c>
      <c r="P66" s="18"/>
      <c r="Q66" s="19"/>
      <c r="R66" s="27"/>
      <c r="S66" s="19"/>
      <c r="T66" s="27"/>
      <c r="U66" s="19"/>
      <c r="V66" s="27"/>
      <c r="W66" s="19"/>
      <c r="X66" s="49" t="s">
        <v>134</v>
      </c>
      <c r="Y66" s="19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41">
        <v>5.0</v>
      </c>
      <c r="B68" s="42" t="s">
        <v>2</v>
      </c>
      <c r="C68" s="43" t="str">
        <f>B8</f>
        <v>t_info_exp_profesional 			</v>
      </c>
      <c r="D68" s="18"/>
      <c r="E68" s="18"/>
      <c r="F68" s="19"/>
      <c r="G68" s="42" t="s">
        <v>3</v>
      </c>
      <c r="H68" s="18"/>
      <c r="I68" s="18"/>
      <c r="J68" s="19"/>
      <c r="K68" s="39" t="str">
        <f>F8</f>
        <v>En esta tabla el usuario consignará la información detallada de su trayectoria laboral previa o actual.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9"/>
      <c r="X68" s="44" t="s">
        <v>70</v>
      </c>
      <c r="Y68" s="114">
        <v>2.0</v>
      </c>
      <c r="Z68" s="51"/>
    </row>
    <row r="69" ht="15.75" customHeight="1">
      <c r="A69" s="46" t="s">
        <v>1</v>
      </c>
      <c r="B69" s="44" t="s">
        <v>71</v>
      </c>
      <c r="C69" s="42" t="s">
        <v>72</v>
      </c>
      <c r="D69" s="18"/>
      <c r="E69" s="18"/>
      <c r="F69" s="19"/>
      <c r="G69" s="42" t="s">
        <v>73</v>
      </c>
      <c r="H69" s="18"/>
      <c r="I69" s="18"/>
      <c r="J69" s="19"/>
      <c r="K69" s="42" t="s">
        <v>74</v>
      </c>
      <c r="L69" s="18"/>
      <c r="M69" s="18"/>
      <c r="N69" s="19"/>
      <c r="O69" s="42" t="s">
        <v>75</v>
      </c>
      <c r="P69" s="18"/>
      <c r="Q69" s="19"/>
      <c r="R69" s="42" t="s">
        <v>76</v>
      </c>
      <c r="S69" s="19"/>
      <c r="T69" s="42" t="s">
        <v>77</v>
      </c>
      <c r="U69" s="19"/>
      <c r="V69" s="42" t="s">
        <v>78</v>
      </c>
      <c r="W69" s="19"/>
      <c r="X69" s="42" t="s">
        <v>79</v>
      </c>
      <c r="Y69" s="19"/>
      <c r="Z69" s="14"/>
    </row>
    <row r="70" ht="15.75" customHeight="1">
      <c r="A70" s="47">
        <v>1.0</v>
      </c>
      <c r="B70" s="48" t="s">
        <v>136</v>
      </c>
      <c r="C70" s="49" t="s">
        <v>137</v>
      </c>
      <c r="D70" s="18"/>
      <c r="E70" s="18"/>
      <c r="F70" s="19"/>
      <c r="G70" s="35" t="s">
        <v>376</v>
      </c>
      <c r="H70" s="18"/>
      <c r="I70" s="18"/>
      <c r="J70" s="19"/>
      <c r="K70" s="27"/>
      <c r="L70" s="18"/>
      <c r="M70" s="18"/>
      <c r="N70" s="19"/>
      <c r="O70" s="49" t="s">
        <v>83</v>
      </c>
      <c r="P70" s="18"/>
      <c r="Q70" s="19"/>
      <c r="R70" s="49" t="s">
        <v>84</v>
      </c>
      <c r="S70" s="19"/>
      <c r="T70" s="27"/>
      <c r="U70" s="19"/>
      <c r="V70" s="27"/>
      <c r="W70" s="19"/>
      <c r="X70" s="27"/>
      <c r="Y70" s="19"/>
      <c r="Z70" s="14"/>
    </row>
    <row r="71" ht="15.75" customHeight="1">
      <c r="A71" s="47">
        <v>2.0</v>
      </c>
      <c r="B71" s="48" t="s">
        <v>109</v>
      </c>
      <c r="C71" s="49" t="s">
        <v>138</v>
      </c>
      <c r="D71" s="18"/>
      <c r="E71" s="18"/>
      <c r="F71" s="19"/>
      <c r="G71" s="35" t="s">
        <v>123</v>
      </c>
      <c r="H71" s="18"/>
      <c r="I71" s="18"/>
      <c r="J71" s="19"/>
      <c r="K71" s="27"/>
      <c r="L71" s="18"/>
      <c r="M71" s="18"/>
      <c r="N71" s="19"/>
      <c r="O71" s="49" t="s">
        <v>83</v>
      </c>
      <c r="P71" s="18"/>
      <c r="Q71" s="19"/>
      <c r="R71" s="27"/>
      <c r="S71" s="19"/>
      <c r="T71" s="49" t="s">
        <v>84</v>
      </c>
      <c r="U71" s="19"/>
      <c r="V71" s="27"/>
      <c r="W71" s="19"/>
      <c r="X71" s="27"/>
      <c r="Y71" s="19"/>
      <c r="Z71" s="14"/>
    </row>
    <row r="72" ht="15.75" customHeight="1">
      <c r="A72" s="47">
        <v>3.0</v>
      </c>
      <c r="B72" s="48" t="s">
        <v>140</v>
      </c>
      <c r="C72" s="49" t="s">
        <v>141</v>
      </c>
      <c r="D72" s="18"/>
      <c r="E72" s="18"/>
      <c r="F72" s="19"/>
      <c r="G72" s="26" t="s">
        <v>387</v>
      </c>
      <c r="H72" s="18"/>
      <c r="I72" s="18"/>
      <c r="J72" s="19"/>
      <c r="K72" s="53">
        <v>100.0</v>
      </c>
      <c r="L72" s="18"/>
      <c r="M72" s="18"/>
      <c r="N72" s="19"/>
      <c r="O72" s="49" t="s">
        <v>83</v>
      </c>
      <c r="P72" s="18"/>
      <c r="Q72" s="19"/>
      <c r="R72" s="27"/>
      <c r="S72" s="19"/>
      <c r="T72" s="27"/>
      <c r="U72" s="19"/>
      <c r="V72" s="27"/>
      <c r="W72" s="19"/>
      <c r="X72" s="27"/>
      <c r="Y72" s="19"/>
      <c r="Z72" s="14"/>
    </row>
    <row r="73" ht="15.75" customHeight="1">
      <c r="A73" s="47">
        <v>4.0</v>
      </c>
      <c r="B73" s="115" t="s">
        <v>409</v>
      </c>
      <c r="C73" s="14" t="s">
        <v>143</v>
      </c>
      <c r="G73" s="26" t="s">
        <v>387</v>
      </c>
      <c r="H73" s="18"/>
      <c r="I73" s="18"/>
      <c r="J73" s="19"/>
      <c r="K73" s="53">
        <v>100.0</v>
      </c>
      <c r="L73" s="18"/>
      <c r="M73" s="18"/>
      <c r="N73" s="19"/>
      <c r="O73" s="49" t="s">
        <v>83</v>
      </c>
      <c r="P73" s="18"/>
      <c r="Q73" s="19"/>
      <c r="R73" s="27"/>
      <c r="S73" s="19"/>
      <c r="T73" s="27"/>
      <c r="U73" s="19"/>
      <c r="V73" s="27"/>
      <c r="W73" s="19"/>
      <c r="X73" s="27"/>
      <c r="Y73" s="19"/>
      <c r="Z73" s="14"/>
    </row>
    <row r="74" ht="15.75" customHeight="1">
      <c r="A74" s="47">
        <v>5.0</v>
      </c>
      <c r="B74" s="48" t="s">
        <v>144</v>
      </c>
      <c r="C74" s="49" t="s">
        <v>145</v>
      </c>
      <c r="D74" s="18"/>
      <c r="E74" s="18"/>
      <c r="F74" s="19"/>
      <c r="G74" s="26" t="s">
        <v>387</v>
      </c>
      <c r="H74" s="18"/>
      <c r="I74" s="18"/>
      <c r="J74" s="19"/>
      <c r="K74" s="53">
        <v>200.0</v>
      </c>
      <c r="L74" s="18"/>
      <c r="M74" s="18"/>
      <c r="N74" s="19"/>
      <c r="O74" s="49" t="s">
        <v>117</v>
      </c>
      <c r="P74" s="18"/>
      <c r="Q74" s="19"/>
      <c r="R74" s="27"/>
      <c r="S74" s="19"/>
      <c r="T74" s="27"/>
      <c r="U74" s="19"/>
      <c r="V74" s="27"/>
      <c r="W74" s="19"/>
      <c r="X74" s="27"/>
      <c r="Y74" s="19"/>
      <c r="Z74" s="14"/>
    </row>
    <row r="75" ht="15.75" customHeight="1">
      <c r="A75" s="47">
        <v>6.0</v>
      </c>
      <c r="B75" s="48" t="s">
        <v>146</v>
      </c>
      <c r="C75" s="49" t="s">
        <v>147</v>
      </c>
      <c r="D75" s="18"/>
      <c r="E75" s="18"/>
      <c r="F75" s="19"/>
      <c r="G75" s="53" t="s">
        <v>410</v>
      </c>
      <c r="H75" s="18"/>
      <c r="I75" s="18"/>
      <c r="J75" s="19"/>
      <c r="K75" s="27"/>
      <c r="L75" s="18"/>
      <c r="M75" s="18"/>
      <c r="N75" s="19"/>
      <c r="O75" s="49" t="s">
        <v>117</v>
      </c>
      <c r="P75" s="18"/>
      <c r="Q75" s="19"/>
      <c r="R75" s="27"/>
      <c r="S75" s="19"/>
      <c r="T75" s="27"/>
      <c r="U75" s="19"/>
      <c r="V75" s="27"/>
      <c r="W75" s="19"/>
      <c r="X75" s="27"/>
      <c r="Y75" s="19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41">
        <v>6.0</v>
      </c>
      <c r="B77" s="42" t="s">
        <v>2</v>
      </c>
      <c r="C77" s="43" t="str">
        <f>B9</f>
        <v>t_info_habilidades</v>
      </c>
      <c r="D77" s="18"/>
      <c r="E77" s="18"/>
      <c r="F77" s="19"/>
      <c r="G77" s="42" t="s">
        <v>3</v>
      </c>
      <c r="H77" s="18"/>
      <c r="I77" s="18"/>
      <c r="J77" s="19"/>
      <c r="K77" s="39" t="str">
        <f>F9</f>
        <v>Almacena las competencias técnicas y blandas de los usuarios, permitiendo categorizar su nivel de dominio.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9"/>
      <c r="X77" s="44" t="s">
        <v>70</v>
      </c>
      <c r="Y77" s="114">
        <v>2.0</v>
      </c>
      <c r="Z77" s="51"/>
    </row>
    <row r="78" ht="15.75" customHeight="1">
      <c r="A78" s="46" t="s">
        <v>1</v>
      </c>
      <c r="B78" s="44" t="s">
        <v>71</v>
      </c>
      <c r="C78" s="42" t="s">
        <v>72</v>
      </c>
      <c r="D78" s="18"/>
      <c r="E78" s="18"/>
      <c r="F78" s="19"/>
      <c r="G78" s="42" t="s">
        <v>73</v>
      </c>
      <c r="H78" s="18"/>
      <c r="I78" s="18"/>
      <c r="J78" s="19"/>
      <c r="K78" s="42" t="s">
        <v>74</v>
      </c>
      <c r="L78" s="18"/>
      <c r="M78" s="18"/>
      <c r="N78" s="19"/>
      <c r="O78" s="42" t="s">
        <v>75</v>
      </c>
      <c r="P78" s="18"/>
      <c r="Q78" s="19"/>
      <c r="R78" s="42" t="s">
        <v>76</v>
      </c>
      <c r="S78" s="19"/>
      <c r="T78" s="42" t="s">
        <v>77</v>
      </c>
      <c r="U78" s="19"/>
      <c r="V78" s="42" t="s">
        <v>78</v>
      </c>
      <c r="W78" s="19"/>
      <c r="X78" s="42" t="s">
        <v>79</v>
      </c>
      <c r="Y78" s="19"/>
      <c r="Z78" s="14"/>
    </row>
    <row r="79" ht="15.75" customHeight="1">
      <c r="A79" s="47">
        <v>1.0</v>
      </c>
      <c r="B79" s="48" t="s">
        <v>149</v>
      </c>
      <c r="C79" s="49" t="s">
        <v>150</v>
      </c>
      <c r="D79" s="18"/>
      <c r="E79" s="18"/>
      <c r="F79" s="19"/>
      <c r="G79" s="35" t="s">
        <v>376</v>
      </c>
      <c r="H79" s="18"/>
      <c r="I79" s="18"/>
      <c r="J79" s="19"/>
      <c r="K79" s="27"/>
      <c r="L79" s="18"/>
      <c r="M79" s="18"/>
      <c r="N79" s="19"/>
      <c r="O79" s="49" t="s">
        <v>83</v>
      </c>
      <c r="P79" s="18"/>
      <c r="Q79" s="19"/>
      <c r="R79" s="49" t="s">
        <v>84</v>
      </c>
      <c r="S79" s="19"/>
      <c r="T79" s="27"/>
      <c r="U79" s="19"/>
      <c r="V79" s="27"/>
      <c r="W79" s="19"/>
      <c r="X79" s="49" t="s">
        <v>121</v>
      </c>
      <c r="Y79" s="19"/>
      <c r="Z79" s="14"/>
    </row>
    <row r="80" ht="15.75" customHeight="1">
      <c r="A80" s="47">
        <v>2.0</v>
      </c>
      <c r="B80" s="48" t="s">
        <v>109</v>
      </c>
      <c r="C80" s="49" t="s">
        <v>151</v>
      </c>
      <c r="D80" s="18"/>
      <c r="E80" s="18"/>
      <c r="F80" s="19"/>
      <c r="G80" s="35" t="s">
        <v>123</v>
      </c>
      <c r="H80" s="18"/>
      <c r="I80" s="18"/>
      <c r="J80" s="19"/>
      <c r="K80" s="27"/>
      <c r="L80" s="18"/>
      <c r="M80" s="18"/>
      <c r="N80" s="19"/>
      <c r="O80" s="49" t="s">
        <v>83</v>
      </c>
      <c r="P80" s="18"/>
      <c r="Q80" s="19"/>
      <c r="R80" s="27"/>
      <c r="S80" s="19"/>
      <c r="T80" s="49" t="s">
        <v>84</v>
      </c>
      <c r="U80" s="19"/>
      <c r="V80" s="27"/>
      <c r="W80" s="19"/>
      <c r="X80" s="49" t="s">
        <v>152</v>
      </c>
      <c r="Y80" s="19"/>
      <c r="Z80" s="14"/>
    </row>
    <row r="81" ht="15.75" customHeight="1">
      <c r="A81" s="47">
        <v>3.0</v>
      </c>
      <c r="B81" s="48" t="s">
        <v>153</v>
      </c>
      <c r="C81" s="49" t="s">
        <v>154</v>
      </c>
      <c r="D81" s="18"/>
      <c r="E81" s="18"/>
      <c r="F81" s="19"/>
      <c r="G81" s="53" t="s">
        <v>387</v>
      </c>
      <c r="H81" s="18"/>
      <c r="I81" s="18"/>
      <c r="J81" s="19"/>
      <c r="K81" s="49">
        <v>50.0</v>
      </c>
      <c r="L81" s="18"/>
      <c r="M81" s="18"/>
      <c r="N81" s="19"/>
      <c r="O81" s="49" t="s">
        <v>83</v>
      </c>
      <c r="P81" s="18"/>
      <c r="Q81" s="19"/>
      <c r="R81" s="27"/>
      <c r="S81" s="19"/>
      <c r="T81" s="27"/>
      <c r="U81" s="19"/>
      <c r="V81" s="27"/>
      <c r="W81" s="19"/>
      <c r="X81" s="49" t="s">
        <v>155</v>
      </c>
      <c r="Y81" s="19"/>
      <c r="Z81" s="14"/>
    </row>
    <row r="82" ht="15.75" customHeight="1">
      <c r="A82" s="47">
        <v>4.0</v>
      </c>
      <c r="B82" s="48" t="s">
        <v>156</v>
      </c>
      <c r="C82" s="49" t="s">
        <v>157</v>
      </c>
      <c r="D82" s="18"/>
      <c r="E82" s="18"/>
      <c r="F82" s="19"/>
      <c r="G82" s="53" t="s">
        <v>387</v>
      </c>
      <c r="H82" s="18"/>
      <c r="I82" s="18"/>
      <c r="J82" s="19"/>
      <c r="K82" s="31">
        <v>20.0</v>
      </c>
      <c r="L82" s="18"/>
      <c r="M82" s="18"/>
      <c r="N82" s="19"/>
      <c r="O82" s="49" t="s">
        <v>83</v>
      </c>
      <c r="P82" s="18"/>
      <c r="Q82" s="19"/>
      <c r="R82" s="27"/>
      <c r="S82" s="19"/>
      <c r="T82" s="27"/>
      <c r="U82" s="19"/>
      <c r="V82" s="27"/>
      <c r="W82" s="19"/>
      <c r="X82" s="49" t="s">
        <v>158</v>
      </c>
      <c r="Y82" s="19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30.75" customHeight="1">
      <c r="A84" s="54">
        <v>7.0</v>
      </c>
      <c r="B84" s="55" t="s">
        <v>2</v>
      </c>
      <c r="C84" s="56" t="str">
        <f>B10</f>
        <v>t_nombre_completo</v>
      </c>
      <c r="D84" s="18"/>
      <c r="E84" s="18"/>
      <c r="F84" s="19"/>
      <c r="G84" s="55" t="s">
        <v>3</v>
      </c>
      <c r="H84" s="18"/>
      <c r="I84" s="18"/>
      <c r="J84" s="19"/>
      <c r="K84" s="117" t="str">
        <f>F10</f>
        <v>Desglose atómico de los nombres y apellidos para permitir búsquedas y ordenamiento eficiente en la plataforma.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9"/>
      <c r="X84" s="57" t="s">
        <v>70</v>
      </c>
      <c r="Y84" s="114">
        <v>2.0</v>
      </c>
      <c r="Z84" s="51"/>
    </row>
    <row r="85" ht="15.75" customHeight="1">
      <c r="A85" s="59" t="s">
        <v>1</v>
      </c>
      <c r="B85" s="57" t="s">
        <v>71</v>
      </c>
      <c r="C85" s="55" t="s">
        <v>72</v>
      </c>
      <c r="D85" s="18"/>
      <c r="E85" s="18"/>
      <c r="F85" s="19"/>
      <c r="G85" s="55" t="s">
        <v>73</v>
      </c>
      <c r="H85" s="18"/>
      <c r="I85" s="18"/>
      <c r="J85" s="19"/>
      <c r="K85" s="55" t="s">
        <v>74</v>
      </c>
      <c r="L85" s="18"/>
      <c r="M85" s="18"/>
      <c r="N85" s="19"/>
      <c r="O85" s="55" t="s">
        <v>75</v>
      </c>
      <c r="P85" s="18"/>
      <c r="Q85" s="19"/>
      <c r="R85" s="55" t="s">
        <v>76</v>
      </c>
      <c r="S85" s="19"/>
      <c r="T85" s="55" t="s">
        <v>77</v>
      </c>
      <c r="U85" s="19"/>
      <c r="V85" s="55" t="s">
        <v>78</v>
      </c>
      <c r="W85" s="19"/>
      <c r="X85" s="55" t="s">
        <v>79</v>
      </c>
      <c r="Y85" s="19"/>
      <c r="Z85" s="14"/>
    </row>
    <row r="86" ht="15.75" customHeight="1">
      <c r="A86" s="60">
        <v>1.0</v>
      </c>
      <c r="B86" s="61" t="s">
        <v>159</v>
      </c>
      <c r="C86" s="56" t="s">
        <v>160</v>
      </c>
      <c r="D86" s="18"/>
      <c r="E86" s="18"/>
      <c r="F86" s="19"/>
      <c r="G86" s="65" t="s">
        <v>376</v>
      </c>
      <c r="H86" s="18"/>
      <c r="I86" s="18"/>
      <c r="J86" s="19"/>
      <c r="K86" s="56"/>
      <c r="L86" s="18"/>
      <c r="M86" s="18"/>
      <c r="N86" s="19"/>
      <c r="O86" s="49" t="s">
        <v>83</v>
      </c>
      <c r="P86" s="18"/>
      <c r="Q86" s="19"/>
      <c r="R86" s="56" t="s">
        <v>84</v>
      </c>
      <c r="S86" s="19"/>
      <c r="T86" s="56"/>
      <c r="U86" s="19"/>
      <c r="V86" s="56"/>
      <c r="W86" s="19"/>
      <c r="X86" s="56" t="s">
        <v>112</v>
      </c>
      <c r="Y86" s="19"/>
      <c r="Z86" s="14"/>
    </row>
    <row r="87" ht="15.75" customHeight="1">
      <c r="A87" s="62">
        <v>2.0</v>
      </c>
      <c r="B87" s="61" t="s">
        <v>86</v>
      </c>
      <c r="C87" s="25" t="s">
        <v>100</v>
      </c>
      <c r="D87" s="18"/>
      <c r="E87" s="18"/>
      <c r="F87" s="19"/>
      <c r="G87" s="35" t="s">
        <v>82</v>
      </c>
      <c r="H87" s="18"/>
      <c r="I87" s="18"/>
      <c r="J87" s="19"/>
      <c r="K87" s="56"/>
      <c r="L87" s="18"/>
      <c r="M87" s="18"/>
      <c r="N87" s="19"/>
      <c r="O87" s="49" t="s">
        <v>83</v>
      </c>
      <c r="P87" s="18"/>
      <c r="Q87" s="19"/>
      <c r="R87" s="56"/>
      <c r="S87" s="19"/>
      <c r="T87" s="65" t="s">
        <v>84</v>
      </c>
      <c r="U87" s="19"/>
      <c r="V87" s="56"/>
      <c r="W87" s="19"/>
      <c r="X87" s="31" t="s">
        <v>161</v>
      </c>
      <c r="Y87" s="19"/>
      <c r="Z87" s="14"/>
    </row>
    <row r="88" ht="15.75" customHeight="1">
      <c r="A88" s="60">
        <v>3.0</v>
      </c>
      <c r="B88" s="61" t="s">
        <v>162</v>
      </c>
      <c r="C88" s="56" t="s">
        <v>163</v>
      </c>
      <c r="D88" s="18"/>
      <c r="E88" s="18"/>
      <c r="F88" s="19"/>
      <c r="G88" s="65" t="s">
        <v>387</v>
      </c>
      <c r="H88" s="18"/>
      <c r="I88" s="18"/>
      <c r="J88" s="19"/>
      <c r="K88" s="56">
        <v>50.0</v>
      </c>
      <c r="L88" s="18"/>
      <c r="M88" s="18"/>
      <c r="N88" s="19"/>
      <c r="O88" s="49" t="s">
        <v>83</v>
      </c>
      <c r="P88" s="18"/>
      <c r="Q88" s="19"/>
      <c r="R88" s="56"/>
      <c r="S88" s="19"/>
      <c r="T88" s="56"/>
      <c r="U88" s="19"/>
      <c r="V88" s="56"/>
      <c r="W88" s="19"/>
      <c r="X88" s="56" t="s">
        <v>164</v>
      </c>
      <c r="Y88" s="19"/>
      <c r="Z88" s="14"/>
    </row>
    <row r="89" ht="15.75" customHeight="1">
      <c r="A89" s="62">
        <v>4.0</v>
      </c>
      <c r="B89" s="61" t="s">
        <v>165</v>
      </c>
      <c r="C89" s="56" t="s">
        <v>166</v>
      </c>
      <c r="D89" s="18"/>
      <c r="E89" s="18"/>
      <c r="F89" s="19"/>
      <c r="G89" s="65" t="s">
        <v>387</v>
      </c>
      <c r="H89" s="18"/>
      <c r="I89" s="18"/>
      <c r="J89" s="19"/>
      <c r="K89" s="56">
        <v>50.0</v>
      </c>
      <c r="L89" s="18"/>
      <c r="M89" s="18"/>
      <c r="N89" s="19"/>
      <c r="O89" s="56" t="s">
        <v>117</v>
      </c>
      <c r="P89" s="18"/>
      <c r="Q89" s="19"/>
      <c r="R89" s="56"/>
      <c r="S89" s="19"/>
      <c r="T89" s="56"/>
      <c r="U89" s="19"/>
      <c r="V89" s="56"/>
      <c r="W89" s="19"/>
      <c r="X89" s="56" t="s">
        <v>167</v>
      </c>
      <c r="Y89" s="19"/>
      <c r="Z89" s="14"/>
    </row>
    <row r="90" ht="15.75" customHeight="1">
      <c r="A90" s="60">
        <v>5.0</v>
      </c>
      <c r="B90" s="61" t="s">
        <v>168</v>
      </c>
      <c r="C90" s="56" t="s">
        <v>169</v>
      </c>
      <c r="D90" s="18"/>
      <c r="E90" s="18"/>
      <c r="F90" s="19"/>
      <c r="G90" s="65" t="s">
        <v>387</v>
      </c>
      <c r="H90" s="18"/>
      <c r="I90" s="18"/>
      <c r="J90" s="19"/>
      <c r="K90" s="56">
        <v>50.0</v>
      </c>
      <c r="L90" s="18"/>
      <c r="M90" s="18"/>
      <c r="N90" s="19"/>
      <c r="O90" s="49" t="s">
        <v>83</v>
      </c>
      <c r="P90" s="18"/>
      <c r="Q90" s="19"/>
      <c r="R90" s="56"/>
      <c r="S90" s="19"/>
      <c r="T90" s="56"/>
      <c r="U90" s="19"/>
      <c r="V90" s="56"/>
      <c r="W90" s="19"/>
      <c r="X90" s="56" t="s">
        <v>164</v>
      </c>
      <c r="Y90" s="19"/>
      <c r="Z90" s="14"/>
    </row>
    <row r="91" ht="15.75" customHeight="1">
      <c r="A91" s="62">
        <v>6.0</v>
      </c>
      <c r="B91" s="63" t="s">
        <v>411</v>
      </c>
      <c r="C91" s="56" t="s">
        <v>171</v>
      </c>
      <c r="D91" s="18"/>
      <c r="E91" s="18"/>
      <c r="F91" s="19"/>
      <c r="G91" s="65" t="s">
        <v>387</v>
      </c>
      <c r="H91" s="18"/>
      <c r="I91" s="18"/>
      <c r="J91" s="19"/>
      <c r="K91" s="56">
        <v>50.0</v>
      </c>
      <c r="L91" s="18"/>
      <c r="M91" s="18"/>
      <c r="N91" s="19"/>
      <c r="O91" s="56" t="s">
        <v>117</v>
      </c>
      <c r="P91" s="18"/>
      <c r="Q91" s="19"/>
      <c r="R91" s="56"/>
      <c r="S91" s="19"/>
      <c r="T91" s="56"/>
      <c r="U91" s="19"/>
      <c r="V91" s="56"/>
      <c r="W91" s="19"/>
      <c r="X91" s="56" t="s">
        <v>167</v>
      </c>
      <c r="Y91" s="19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54">
        <v>8.0</v>
      </c>
      <c r="B93" s="55" t="s">
        <v>2</v>
      </c>
      <c r="C93" s="56" t="str">
        <f>B11</f>
        <v>t_dependencia_academica</v>
      </c>
      <c r="D93" s="18"/>
      <c r="E93" s="18"/>
      <c r="F93" s="19"/>
      <c r="G93" s="55" t="s">
        <v>3</v>
      </c>
      <c r="H93" s="18"/>
      <c r="I93" s="18"/>
      <c r="J93" s="19"/>
      <c r="K93" s="39" t="str">
        <f>F11</f>
        <v>Tabla de relación que vincula a los usuarios con sus respectivas unidades o facultades, permitiendo la trazabilidad de su ingreso.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9"/>
      <c r="X93" s="57" t="s">
        <v>70</v>
      </c>
      <c r="Y93" s="114">
        <v>2.0</v>
      </c>
      <c r="Z93" s="51"/>
    </row>
    <row r="94" ht="15.75" customHeight="1">
      <c r="A94" s="59" t="s">
        <v>1</v>
      </c>
      <c r="B94" s="57" t="s">
        <v>71</v>
      </c>
      <c r="C94" s="55" t="s">
        <v>72</v>
      </c>
      <c r="D94" s="18"/>
      <c r="E94" s="18"/>
      <c r="F94" s="19"/>
      <c r="G94" s="55" t="s">
        <v>73</v>
      </c>
      <c r="H94" s="18"/>
      <c r="I94" s="18"/>
      <c r="J94" s="19"/>
      <c r="K94" s="55" t="s">
        <v>74</v>
      </c>
      <c r="L94" s="18"/>
      <c r="M94" s="18"/>
      <c r="N94" s="19"/>
      <c r="O94" s="55" t="s">
        <v>75</v>
      </c>
      <c r="P94" s="18"/>
      <c r="Q94" s="19"/>
      <c r="R94" s="55" t="s">
        <v>76</v>
      </c>
      <c r="S94" s="19"/>
      <c r="T94" s="55" t="s">
        <v>77</v>
      </c>
      <c r="U94" s="19"/>
      <c r="V94" s="55" t="s">
        <v>78</v>
      </c>
      <c r="W94" s="19"/>
      <c r="X94" s="55" t="s">
        <v>79</v>
      </c>
      <c r="Y94" s="19"/>
      <c r="Z94" s="14"/>
    </row>
    <row r="95" ht="15.75" customHeight="1">
      <c r="A95" s="60">
        <v>1.0</v>
      </c>
      <c r="B95" s="61" t="s">
        <v>86</v>
      </c>
      <c r="C95" s="56" t="s">
        <v>172</v>
      </c>
      <c r="D95" s="18"/>
      <c r="E95" s="18"/>
      <c r="F95" s="19"/>
      <c r="G95" s="35" t="s">
        <v>82</v>
      </c>
      <c r="H95" s="18"/>
      <c r="I95" s="18"/>
      <c r="J95" s="19"/>
      <c r="K95" s="56"/>
      <c r="L95" s="18"/>
      <c r="M95" s="18"/>
      <c r="N95" s="19"/>
      <c r="O95" s="56" t="s">
        <v>83</v>
      </c>
      <c r="P95" s="18"/>
      <c r="Q95" s="19"/>
      <c r="R95" s="56" t="s">
        <v>84</v>
      </c>
      <c r="S95" s="19"/>
      <c r="T95" s="56" t="s">
        <v>84</v>
      </c>
      <c r="U95" s="19"/>
      <c r="V95" s="56"/>
      <c r="W95" s="19"/>
      <c r="X95" s="56" t="s">
        <v>173</v>
      </c>
      <c r="Y95" s="66"/>
      <c r="Z95" s="14"/>
    </row>
    <row r="96" ht="15.75" customHeight="1">
      <c r="A96" s="60">
        <v>2.0</v>
      </c>
      <c r="B96" s="61" t="s">
        <v>174</v>
      </c>
      <c r="C96" s="56" t="s">
        <v>175</v>
      </c>
      <c r="D96" s="18"/>
      <c r="E96" s="18"/>
      <c r="F96" s="19"/>
      <c r="G96" s="65" t="s">
        <v>123</v>
      </c>
      <c r="H96" s="18"/>
      <c r="I96" s="18"/>
      <c r="J96" s="19"/>
      <c r="K96" s="56"/>
      <c r="L96" s="18"/>
      <c r="M96" s="18"/>
      <c r="N96" s="19"/>
      <c r="O96" s="56" t="s">
        <v>176</v>
      </c>
      <c r="P96" s="18"/>
      <c r="Q96" s="19"/>
      <c r="R96" s="56" t="s">
        <v>84</v>
      </c>
      <c r="S96" s="19"/>
      <c r="T96" s="56" t="s">
        <v>84</v>
      </c>
      <c r="U96" s="19"/>
      <c r="V96" s="56"/>
      <c r="W96" s="19"/>
      <c r="X96" s="56" t="s">
        <v>173</v>
      </c>
      <c r="Y96" s="66"/>
      <c r="Z96" s="14"/>
    </row>
    <row r="97" ht="15.75" customHeight="1">
      <c r="A97" s="60">
        <v>3.0</v>
      </c>
      <c r="B97" s="61" t="s">
        <v>177</v>
      </c>
      <c r="C97" s="56" t="s">
        <v>178</v>
      </c>
      <c r="D97" s="18"/>
      <c r="E97" s="18"/>
      <c r="F97" s="19"/>
      <c r="G97" s="65" t="s">
        <v>182</v>
      </c>
      <c r="H97" s="18"/>
      <c r="I97" s="18"/>
      <c r="J97" s="19"/>
      <c r="K97" s="56"/>
      <c r="L97" s="18"/>
      <c r="M97" s="18"/>
      <c r="N97" s="19"/>
      <c r="O97" s="56" t="s">
        <v>176</v>
      </c>
      <c r="P97" s="18"/>
      <c r="Q97" s="19"/>
      <c r="R97" s="56"/>
      <c r="S97" s="19"/>
      <c r="T97" s="56"/>
      <c r="U97" s="19"/>
      <c r="V97" s="56"/>
      <c r="W97" s="19"/>
      <c r="X97" s="56" t="s">
        <v>179</v>
      </c>
      <c r="Y97" s="66"/>
      <c r="Z97" s="14"/>
    </row>
    <row r="98" ht="15.75" customHeight="1">
      <c r="A98" s="62">
        <v>4.0</v>
      </c>
      <c r="B98" s="63" t="s">
        <v>180</v>
      </c>
      <c r="C98" s="118" t="s">
        <v>181</v>
      </c>
      <c r="D98" s="18"/>
      <c r="E98" s="18"/>
      <c r="F98" s="19"/>
      <c r="G98" s="118" t="s">
        <v>182</v>
      </c>
      <c r="H98" s="18"/>
      <c r="I98" s="18"/>
      <c r="J98" s="19"/>
      <c r="K98" s="39"/>
      <c r="L98" s="18"/>
      <c r="M98" s="18"/>
      <c r="N98" s="19"/>
      <c r="O98" s="56" t="s">
        <v>117</v>
      </c>
      <c r="P98" s="18"/>
      <c r="Q98" s="19"/>
      <c r="R98" s="39"/>
      <c r="S98" s="19"/>
      <c r="T98" s="39"/>
      <c r="U98" s="19"/>
      <c r="V98" s="39"/>
      <c r="W98" s="19"/>
      <c r="X98" s="118" t="s">
        <v>183</v>
      </c>
      <c r="Y98" s="19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54">
        <v>9.0</v>
      </c>
      <c r="B100" s="55" t="s">
        <v>2</v>
      </c>
      <c r="C100" s="56" t="str">
        <f>B12</f>
        <v>t_maestra_dependencia_academica</v>
      </c>
      <c r="D100" s="18"/>
      <c r="E100" s="18"/>
      <c r="F100" s="19"/>
      <c r="G100" s="55" t="s">
        <v>3</v>
      </c>
      <c r="H100" s="18"/>
      <c r="I100" s="18"/>
      <c r="J100" s="19"/>
      <c r="K100" s="39" t="str">
        <f>F12</f>
        <v>Catálogo centralizado que contiene los nombres oficiales de las unidades, facultades o dependencias de la institución.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9"/>
      <c r="X100" s="57" t="s">
        <v>70</v>
      </c>
      <c r="Y100" s="114">
        <v>2.0</v>
      </c>
      <c r="Z100" s="51"/>
    </row>
    <row r="101" ht="15.75" customHeight="1">
      <c r="A101" s="59" t="s">
        <v>1</v>
      </c>
      <c r="B101" s="57" t="s">
        <v>71</v>
      </c>
      <c r="C101" s="55" t="s">
        <v>72</v>
      </c>
      <c r="D101" s="18"/>
      <c r="E101" s="18"/>
      <c r="F101" s="19"/>
      <c r="G101" s="55" t="s">
        <v>73</v>
      </c>
      <c r="H101" s="18"/>
      <c r="I101" s="18"/>
      <c r="J101" s="19"/>
      <c r="K101" s="55" t="s">
        <v>74</v>
      </c>
      <c r="L101" s="18"/>
      <c r="M101" s="18"/>
      <c r="N101" s="19"/>
      <c r="O101" s="55" t="s">
        <v>75</v>
      </c>
      <c r="P101" s="18"/>
      <c r="Q101" s="19"/>
      <c r="R101" s="55" t="s">
        <v>76</v>
      </c>
      <c r="S101" s="19"/>
      <c r="T101" s="55" t="s">
        <v>77</v>
      </c>
      <c r="U101" s="19"/>
      <c r="V101" s="55" t="s">
        <v>78</v>
      </c>
      <c r="W101" s="19"/>
      <c r="X101" s="55" t="s">
        <v>79</v>
      </c>
      <c r="Y101" s="19"/>
      <c r="Z101" s="14"/>
    </row>
    <row r="102" ht="15.75" customHeight="1">
      <c r="A102" s="60">
        <v>1.0</v>
      </c>
      <c r="B102" s="61" t="s">
        <v>174</v>
      </c>
      <c r="C102" s="56" t="s">
        <v>184</v>
      </c>
      <c r="D102" s="18"/>
      <c r="E102" s="18"/>
      <c r="F102" s="19"/>
      <c r="G102" s="65" t="s">
        <v>376</v>
      </c>
      <c r="H102" s="18"/>
      <c r="I102" s="18"/>
      <c r="J102" s="19"/>
      <c r="K102" s="56"/>
      <c r="L102" s="18"/>
      <c r="M102" s="18"/>
      <c r="N102" s="19"/>
      <c r="O102" s="56" t="s">
        <v>83</v>
      </c>
      <c r="P102" s="18"/>
      <c r="Q102" s="19"/>
      <c r="R102" s="56" t="s">
        <v>84</v>
      </c>
      <c r="S102" s="19"/>
      <c r="T102" s="56"/>
      <c r="U102" s="19"/>
      <c r="V102" s="56"/>
      <c r="W102" s="19"/>
      <c r="X102" s="56" t="s">
        <v>185</v>
      </c>
      <c r="Y102" s="19"/>
      <c r="Z102" s="14"/>
    </row>
    <row r="103" ht="15.75" customHeight="1">
      <c r="A103" s="60">
        <v>2.0</v>
      </c>
      <c r="B103" s="61" t="s">
        <v>186</v>
      </c>
      <c r="C103" s="56" t="s">
        <v>187</v>
      </c>
      <c r="D103" s="18"/>
      <c r="E103" s="18"/>
      <c r="F103" s="19"/>
      <c r="G103" s="65" t="s">
        <v>387</v>
      </c>
      <c r="H103" s="18"/>
      <c r="I103" s="18"/>
      <c r="J103" s="19"/>
      <c r="K103" s="67">
        <v>100.0</v>
      </c>
      <c r="L103" s="18"/>
      <c r="M103" s="18"/>
      <c r="N103" s="19"/>
      <c r="O103" s="56" t="s">
        <v>83</v>
      </c>
      <c r="P103" s="18"/>
      <c r="Q103" s="19"/>
      <c r="R103" s="56"/>
      <c r="S103" s="19"/>
      <c r="T103" s="56"/>
      <c r="U103" s="19"/>
      <c r="V103" s="56" t="s">
        <v>84</v>
      </c>
      <c r="W103" s="19"/>
      <c r="X103" s="56" t="s">
        <v>188</v>
      </c>
      <c r="Y103" s="19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54">
        <v>10.0</v>
      </c>
      <c r="B105" s="55" t="s">
        <v>2</v>
      </c>
      <c r="C105" s="56" t="str">
        <f>B13</f>
        <v>t_rol_usuario</v>
      </c>
      <c r="D105" s="18"/>
      <c r="E105" s="18"/>
      <c r="F105" s="19"/>
      <c r="G105" s="55" t="s">
        <v>3</v>
      </c>
      <c r="H105" s="18"/>
      <c r="I105" s="18"/>
      <c r="J105" s="19"/>
      <c r="K105" s="39" t="str">
        <f>F13</f>
        <v>Tabla de intersección que clasifica a los usuarios según sus funciones en la institución, permitiendo la multirrolidad.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9"/>
      <c r="X105" s="57" t="s">
        <v>70</v>
      </c>
      <c r="Y105" s="114">
        <v>2.0</v>
      </c>
      <c r="Z105" s="51"/>
    </row>
    <row r="106" ht="15.75" customHeight="1">
      <c r="A106" s="59" t="s">
        <v>1</v>
      </c>
      <c r="B106" s="57" t="s">
        <v>71</v>
      </c>
      <c r="C106" s="55" t="s">
        <v>72</v>
      </c>
      <c r="D106" s="18"/>
      <c r="E106" s="18"/>
      <c r="F106" s="19"/>
      <c r="G106" s="55" t="s">
        <v>73</v>
      </c>
      <c r="H106" s="18"/>
      <c r="I106" s="18"/>
      <c r="J106" s="19"/>
      <c r="K106" s="55" t="s">
        <v>74</v>
      </c>
      <c r="L106" s="18"/>
      <c r="M106" s="18"/>
      <c r="N106" s="19"/>
      <c r="O106" s="55" t="s">
        <v>75</v>
      </c>
      <c r="P106" s="18"/>
      <c r="Q106" s="19"/>
      <c r="R106" s="55" t="s">
        <v>76</v>
      </c>
      <c r="S106" s="19"/>
      <c r="T106" s="55" t="s">
        <v>77</v>
      </c>
      <c r="U106" s="19"/>
      <c r="V106" s="55" t="s">
        <v>78</v>
      </c>
      <c r="W106" s="19"/>
      <c r="X106" s="55" t="s">
        <v>79</v>
      </c>
      <c r="Y106" s="19"/>
      <c r="Z106" s="14"/>
    </row>
    <row r="107" ht="15.75" customHeight="1">
      <c r="A107" s="60">
        <v>1.0</v>
      </c>
      <c r="B107" s="61" t="s">
        <v>86</v>
      </c>
      <c r="C107" s="56" t="s">
        <v>189</v>
      </c>
      <c r="D107" s="18"/>
      <c r="E107" s="18"/>
      <c r="F107" s="19"/>
      <c r="G107" s="65" t="s">
        <v>82</v>
      </c>
      <c r="H107" s="18"/>
      <c r="I107" s="18"/>
      <c r="J107" s="19"/>
      <c r="K107" s="56"/>
      <c r="L107" s="18"/>
      <c r="M107" s="18"/>
      <c r="N107" s="19"/>
      <c r="O107" s="56" t="s">
        <v>83</v>
      </c>
      <c r="P107" s="18"/>
      <c r="Q107" s="19"/>
      <c r="R107" s="56" t="s">
        <v>84</v>
      </c>
      <c r="S107" s="19"/>
      <c r="T107" s="56" t="s">
        <v>84</v>
      </c>
      <c r="U107" s="19"/>
      <c r="V107" s="56"/>
      <c r="W107" s="19"/>
      <c r="X107" s="56" t="s">
        <v>173</v>
      </c>
      <c r="Y107" s="19"/>
      <c r="Z107" s="14"/>
    </row>
    <row r="108" ht="15.75" customHeight="1">
      <c r="A108" s="60">
        <v>2.0</v>
      </c>
      <c r="B108" s="61" t="s">
        <v>190</v>
      </c>
      <c r="C108" s="56" t="s">
        <v>191</v>
      </c>
      <c r="D108" s="18"/>
      <c r="E108" s="18"/>
      <c r="F108" s="19"/>
      <c r="G108" s="65" t="s">
        <v>123</v>
      </c>
      <c r="H108" s="18"/>
      <c r="I108" s="18"/>
      <c r="J108" s="19"/>
      <c r="K108" s="56"/>
      <c r="L108" s="18"/>
      <c r="M108" s="18"/>
      <c r="N108" s="19"/>
      <c r="O108" s="56" t="s">
        <v>83</v>
      </c>
      <c r="P108" s="18"/>
      <c r="Q108" s="19"/>
      <c r="R108" s="56" t="s">
        <v>84</v>
      </c>
      <c r="S108" s="19"/>
      <c r="T108" s="56" t="s">
        <v>84</v>
      </c>
      <c r="U108" s="19"/>
      <c r="V108" s="56"/>
      <c r="W108" s="19"/>
      <c r="X108" s="56" t="s">
        <v>192</v>
      </c>
      <c r="Y108" s="19"/>
      <c r="Z108" s="14"/>
    </row>
    <row r="109" ht="15.75" customHeight="1">
      <c r="A109" s="60">
        <v>3.0</v>
      </c>
      <c r="B109" s="61" t="s">
        <v>193</v>
      </c>
      <c r="C109" s="56" t="s">
        <v>194</v>
      </c>
      <c r="D109" s="18"/>
      <c r="E109" s="18"/>
      <c r="F109" s="19"/>
      <c r="G109" s="65" t="s">
        <v>182</v>
      </c>
      <c r="H109" s="18"/>
      <c r="I109" s="18"/>
      <c r="J109" s="19"/>
      <c r="K109" s="56"/>
      <c r="L109" s="18"/>
      <c r="M109" s="18"/>
      <c r="N109" s="19"/>
      <c r="O109" s="56" t="s">
        <v>83</v>
      </c>
      <c r="P109" s="18"/>
      <c r="Q109" s="19"/>
      <c r="R109" s="56"/>
      <c r="S109" s="19"/>
      <c r="T109" s="56"/>
      <c r="U109" s="19"/>
      <c r="V109" s="56"/>
      <c r="W109" s="19"/>
      <c r="X109" s="56" t="s">
        <v>195</v>
      </c>
      <c r="Y109" s="19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54">
        <v>11.0</v>
      </c>
      <c r="B111" s="55" t="s">
        <v>2</v>
      </c>
      <c r="C111" s="56" t="str">
        <f>B14</f>
        <v>t_maestra_rol</v>
      </c>
      <c r="D111" s="18"/>
      <c r="E111" s="18"/>
      <c r="F111" s="19"/>
      <c r="G111" s="55" t="s">
        <v>3</v>
      </c>
      <c r="H111" s="18"/>
      <c r="I111" s="18"/>
      <c r="J111" s="19"/>
      <c r="K111" s="39" t="str">
        <f>F14</f>
        <v>Clasificación del perfil (estudiante, docente, empleado, egresado, externo). Permite que un usuario tenga más de un rol simultáneamente.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9"/>
      <c r="X111" s="57" t="s">
        <v>70</v>
      </c>
      <c r="Y111" s="114">
        <v>2.0</v>
      </c>
      <c r="Z111" s="51"/>
    </row>
    <row r="112" ht="15.75" customHeight="1">
      <c r="A112" s="59" t="s">
        <v>1</v>
      </c>
      <c r="B112" s="57" t="s">
        <v>71</v>
      </c>
      <c r="C112" s="55" t="s">
        <v>72</v>
      </c>
      <c r="D112" s="18"/>
      <c r="E112" s="18"/>
      <c r="F112" s="19"/>
      <c r="G112" s="55" t="s">
        <v>73</v>
      </c>
      <c r="H112" s="18"/>
      <c r="I112" s="18"/>
      <c r="J112" s="19"/>
      <c r="K112" s="55" t="s">
        <v>74</v>
      </c>
      <c r="L112" s="18"/>
      <c r="M112" s="18"/>
      <c r="N112" s="19"/>
      <c r="O112" s="55" t="s">
        <v>75</v>
      </c>
      <c r="P112" s="18"/>
      <c r="Q112" s="19"/>
      <c r="R112" s="55" t="s">
        <v>76</v>
      </c>
      <c r="S112" s="19"/>
      <c r="T112" s="55" t="s">
        <v>77</v>
      </c>
      <c r="U112" s="19"/>
      <c r="V112" s="55" t="s">
        <v>78</v>
      </c>
      <c r="W112" s="19"/>
      <c r="X112" s="55" t="s">
        <v>79</v>
      </c>
      <c r="Y112" s="19"/>
      <c r="Z112" s="14"/>
    </row>
    <row r="113" ht="15.75" customHeight="1">
      <c r="A113" s="60">
        <v>1.0</v>
      </c>
      <c r="B113" s="61" t="s">
        <v>190</v>
      </c>
      <c r="C113" s="56" t="s">
        <v>196</v>
      </c>
      <c r="D113" s="18"/>
      <c r="E113" s="18"/>
      <c r="F113" s="19"/>
      <c r="G113" s="65" t="s">
        <v>376</v>
      </c>
      <c r="H113" s="18"/>
      <c r="I113" s="18"/>
      <c r="J113" s="19"/>
      <c r="K113" s="56"/>
      <c r="L113" s="18"/>
      <c r="M113" s="18"/>
      <c r="N113" s="19"/>
      <c r="O113" s="56" t="s">
        <v>83</v>
      </c>
      <c r="P113" s="18"/>
      <c r="Q113" s="19"/>
      <c r="R113" s="56" t="s">
        <v>84</v>
      </c>
      <c r="S113" s="19"/>
      <c r="T113" s="56"/>
      <c r="U113" s="19"/>
      <c r="V113" s="56"/>
      <c r="W113" s="19"/>
      <c r="X113" s="56"/>
      <c r="Y113" s="19"/>
      <c r="Z113" s="14"/>
    </row>
    <row r="114" ht="15.75" customHeight="1">
      <c r="A114" s="60">
        <v>2.0</v>
      </c>
      <c r="B114" s="61" t="s">
        <v>197</v>
      </c>
      <c r="C114" s="56" t="s">
        <v>198</v>
      </c>
      <c r="D114" s="18"/>
      <c r="E114" s="18"/>
      <c r="F114" s="19"/>
      <c r="G114" s="65" t="s">
        <v>387</v>
      </c>
      <c r="H114" s="18"/>
      <c r="I114" s="18"/>
      <c r="J114" s="19"/>
      <c r="K114" s="67">
        <v>50.0</v>
      </c>
      <c r="L114" s="18"/>
      <c r="M114" s="18"/>
      <c r="N114" s="19"/>
      <c r="O114" s="56" t="s">
        <v>83</v>
      </c>
      <c r="P114" s="18"/>
      <c r="Q114" s="19"/>
      <c r="R114" s="56"/>
      <c r="S114" s="19"/>
      <c r="T114" s="56"/>
      <c r="U114" s="19"/>
      <c r="V114" s="65" t="s">
        <v>84</v>
      </c>
      <c r="W114" s="19"/>
      <c r="X114" s="56"/>
      <c r="Y114" s="19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54">
        <v>12.0</v>
      </c>
      <c r="B116" s="55" t="s">
        <v>2</v>
      </c>
      <c r="C116" s="56" t="str">
        <f>B15</f>
        <v>t_publicacion</v>
      </c>
      <c r="D116" s="18"/>
      <c r="E116" s="18"/>
      <c r="F116" s="19"/>
      <c r="G116" s="55" t="s">
        <v>3</v>
      </c>
      <c r="H116" s="18"/>
      <c r="I116" s="18"/>
      <c r="J116" s="19"/>
      <c r="K116" s="39" t="str">
        <f>F15</f>
        <v>Almacena el contenido generado por los usuarios para la interacción en la red social.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9"/>
      <c r="X116" s="57" t="s">
        <v>70</v>
      </c>
      <c r="Y116" s="114">
        <v>2.0</v>
      </c>
      <c r="Z116" s="51"/>
    </row>
    <row r="117" ht="15.75" customHeight="1">
      <c r="A117" s="59" t="s">
        <v>1</v>
      </c>
      <c r="B117" s="57" t="s">
        <v>71</v>
      </c>
      <c r="C117" s="55" t="s">
        <v>72</v>
      </c>
      <c r="D117" s="18"/>
      <c r="E117" s="18"/>
      <c r="F117" s="19"/>
      <c r="G117" s="55" t="s">
        <v>73</v>
      </c>
      <c r="H117" s="18"/>
      <c r="I117" s="18"/>
      <c r="J117" s="19"/>
      <c r="K117" s="55" t="s">
        <v>74</v>
      </c>
      <c r="L117" s="18"/>
      <c r="M117" s="18"/>
      <c r="N117" s="19"/>
      <c r="O117" s="55" t="s">
        <v>75</v>
      </c>
      <c r="P117" s="18"/>
      <c r="Q117" s="19"/>
      <c r="R117" s="55" t="s">
        <v>76</v>
      </c>
      <c r="S117" s="19"/>
      <c r="T117" s="55" t="s">
        <v>77</v>
      </c>
      <c r="U117" s="19"/>
      <c r="V117" s="55" t="s">
        <v>78</v>
      </c>
      <c r="W117" s="19"/>
      <c r="X117" s="55" t="s">
        <v>79</v>
      </c>
      <c r="Y117" s="19"/>
      <c r="Z117" s="14"/>
    </row>
    <row r="118" ht="15.75" customHeight="1">
      <c r="A118" s="60">
        <v>1.0</v>
      </c>
      <c r="B118" s="61" t="s">
        <v>199</v>
      </c>
      <c r="C118" s="56" t="s">
        <v>200</v>
      </c>
      <c r="D118" s="18"/>
      <c r="E118" s="18"/>
      <c r="F118" s="19"/>
      <c r="G118" s="65" t="s">
        <v>376</v>
      </c>
      <c r="H118" s="18"/>
      <c r="I118" s="18"/>
      <c r="J118" s="19"/>
      <c r="K118" s="56"/>
      <c r="L118" s="18"/>
      <c r="M118" s="18"/>
      <c r="N118" s="19"/>
      <c r="O118" s="56" t="s">
        <v>83</v>
      </c>
      <c r="P118" s="18"/>
      <c r="Q118" s="19"/>
      <c r="R118" s="56" t="s">
        <v>84</v>
      </c>
      <c r="S118" s="19"/>
      <c r="T118" s="56"/>
      <c r="U118" s="19"/>
      <c r="V118" s="56"/>
      <c r="W118" s="19"/>
      <c r="X118" s="56" t="s">
        <v>201</v>
      </c>
      <c r="Y118" s="19"/>
      <c r="Z118" s="14"/>
    </row>
    <row r="119" ht="15.75" customHeight="1">
      <c r="A119" s="60">
        <v>2.0</v>
      </c>
      <c r="B119" s="61" t="s">
        <v>86</v>
      </c>
      <c r="C119" s="56" t="s">
        <v>202</v>
      </c>
      <c r="D119" s="18"/>
      <c r="E119" s="18"/>
      <c r="F119" s="19"/>
      <c r="G119" s="65" t="s">
        <v>82</v>
      </c>
      <c r="H119" s="18"/>
      <c r="I119" s="18"/>
      <c r="J119" s="19"/>
      <c r="K119" s="56"/>
      <c r="L119" s="18"/>
      <c r="M119" s="18"/>
      <c r="N119" s="19"/>
      <c r="O119" s="56" t="s">
        <v>83</v>
      </c>
      <c r="P119" s="18"/>
      <c r="Q119" s="19"/>
      <c r="R119" s="56"/>
      <c r="S119" s="19"/>
      <c r="T119" s="56" t="s">
        <v>84</v>
      </c>
      <c r="U119" s="19"/>
      <c r="V119" s="56"/>
      <c r="W119" s="19"/>
      <c r="X119" s="56" t="s">
        <v>203</v>
      </c>
      <c r="Y119" s="19"/>
      <c r="Z119" s="14"/>
    </row>
    <row r="120" ht="15.75" customHeight="1">
      <c r="A120" s="60">
        <v>3.0</v>
      </c>
      <c r="B120" s="61" t="s">
        <v>204</v>
      </c>
      <c r="C120" s="56" t="s">
        <v>205</v>
      </c>
      <c r="D120" s="18"/>
      <c r="E120" s="18"/>
      <c r="F120" s="19"/>
      <c r="G120" s="65" t="s">
        <v>123</v>
      </c>
      <c r="H120" s="18"/>
      <c r="I120" s="18"/>
      <c r="J120" s="19"/>
      <c r="K120" s="56"/>
      <c r="L120" s="18"/>
      <c r="M120" s="18"/>
      <c r="N120" s="19"/>
      <c r="O120" s="56" t="s">
        <v>83</v>
      </c>
      <c r="P120" s="18"/>
      <c r="Q120" s="19"/>
      <c r="R120" s="56"/>
      <c r="S120" s="19"/>
      <c r="T120" s="56" t="s">
        <v>84</v>
      </c>
      <c r="U120" s="19"/>
      <c r="V120" s="56"/>
      <c r="W120" s="19"/>
      <c r="X120" s="56" t="s">
        <v>206</v>
      </c>
      <c r="Y120" s="19"/>
      <c r="Z120" s="14"/>
    </row>
    <row r="121" ht="15.75" customHeight="1">
      <c r="A121" s="60">
        <v>4.0</v>
      </c>
      <c r="B121" s="61" t="s">
        <v>207</v>
      </c>
      <c r="C121" s="56" t="s">
        <v>208</v>
      </c>
      <c r="D121" s="18"/>
      <c r="E121" s="18"/>
      <c r="F121" s="19"/>
      <c r="G121" s="65" t="s">
        <v>123</v>
      </c>
      <c r="H121" s="18"/>
      <c r="I121" s="18"/>
      <c r="J121" s="19"/>
      <c r="K121" s="56"/>
      <c r="L121" s="18"/>
      <c r="M121" s="18"/>
      <c r="N121" s="19"/>
      <c r="O121" s="56" t="s">
        <v>83</v>
      </c>
      <c r="P121" s="18"/>
      <c r="Q121" s="19"/>
      <c r="R121" s="56"/>
      <c r="S121" s="19"/>
      <c r="T121" s="56" t="s">
        <v>84</v>
      </c>
      <c r="U121" s="19"/>
      <c r="V121" s="56"/>
      <c r="W121" s="19"/>
      <c r="X121" s="56" t="s">
        <v>209</v>
      </c>
      <c r="Y121" s="19"/>
      <c r="Z121" s="14"/>
    </row>
    <row r="122" ht="15.75" customHeight="1">
      <c r="A122" s="60">
        <v>5.0</v>
      </c>
      <c r="B122" s="61" t="s">
        <v>210</v>
      </c>
      <c r="C122" s="56" t="s">
        <v>211</v>
      </c>
      <c r="D122" s="18"/>
      <c r="E122" s="18"/>
      <c r="F122" s="19"/>
      <c r="G122" s="65" t="s">
        <v>380</v>
      </c>
      <c r="H122" s="18"/>
      <c r="I122" s="18"/>
      <c r="J122" s="19"/>
      <c r="K122" s="56"/>
      <c r="L122" s="18"/>
      <c r="M122" s="18"/>
      <c r="N122" s="19"/>
      <c r="O122" s="56" t="s">
        <v>83</v>
      </c>
      <c r="P122" s="18"/>
      <c r="Q122" s="19"/>
      <c r="R122" s="56"/>
      <c r="S122" s="19"/>
      <c r="T122" s="56"/>
      <c r="U122" s="19"/>
      <c r="V122" s="56"/>
      <c r="W122" s="19"/>
      <c r="X122" s="56" t="s">
        <v>213</v>
      </c>
      <c r="Y122" s="19"/>
      <c r="Z122" s="14"/>
    </row>
    <row r="123" ht="15.75" customHeight="1">
      <c r="A123" s="60">
        <v>6.0</v>
      </c>
      <c r="B123" s="61" t="s">
        <v>214</v>
      </c>
      <c r="C123" s="56" t="s">
        <v>215</v>
      </c>
      <c r="D123" s="18"/>
      <c r="E123" s="18"/>
      <c r="F123" s="19"/>
      <c r="G123" s="65" t="s">
        <v>412</v>
      </c>
      <c r="H123" s="18"/>
      <c r="I123" s="18"/>
      <c r="J123" s="19"/>
      <c r="K123" s="56"/>
      <c r="L123" s="18"/>
      <c r="M123" s="18"/>
      <c r="N123" s="19"/>
      <c r="O123" s="56" t="s">
        <v>83</v>
      </c>
      <c r="P123" s="18"/>
      <c r="Q123" s="19"/>
      <c r="R123" s="56"/>
      <c r="S123" s="19"/>
      <c r="T123" s="56"/>
      <c r="U123" s="19"/>
      <c r="V123" s="56"/>
      <c r="W123" s="19"/>
      <c r="X123" s="56" t="s">
        <v>216</v>
      </c>
      <c r="Y123" s="19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54">
        <v>13.0</v>
      </c>
      <c r="B125" s="55" t="s">
        <v>2</v>
      </c>
      <c r="C125" s="39" t="str">
        <f>B16</f>
        <v>t_maestra_publicacion</v>
      </c>
      <c r="D125" s="18"/>
      <c r="E125" s="18"/>
      <c r="F125" s="19"/>
      <c r="G125" s="55" t="s">
        <v>3</v>
      </c>
      <c r="H125" s="18"/>
      <c r="I125" s="18"/>
      <c r="J125" s="19"/>
      <c r="K125" s="39" t="str">
        <f>F16</f>
        <v>Catálogo que define los estados posibles de una publicación y sus reglas de interacción.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9"/>
      <c r="X125" s="57" t="s">
        <v>70</v>
      </c>
      <c r="Y125" s="114">
        <v>2.0</v>
      </c>
      <c r="Z125" s="51"/>
    </row>
    <row r="126" ht="15.75" customHeight="1">
      <c r="A126" s="59" t="s">
        <v>1</v>
      </c>
      <c r="B126" s="57" t="s">
        <v>71</v>
      </c>
      <c r="C126" s="55" t="s">
        <v>72</v>
      </c>
      <c r="D126" s="18"/>
      <c r="E126" s="18"/>
      <c r="F126" s="19"/>
      <c r="G126" s="55" t="s">
        <v>73</v>
      </c>
      <c r="H126" s="18"/>
      <c r="I126" s="18"/>
      <c r="J126" s="19"/>
      <c r="K126" s="55" t="s">
        <v>74</v>
      </c>
      <c r="L126" s="18"/>
      <c r="M126" s="18"/>
      <c r="N126" s="19"/>
      <c r="O126" s="55" t="s">
        <v>75</v>
      </c>
      <c r="P126" s="18"/>
      <c r="Q126" s="19"/>
      <c r="R126" s="55" t="s">
        <v>76</v>
      </c>
      <c r="S126" s="19"/>
      <c r="T126" s="55" t="s">
        <v>77</v>
      </c>
      <c r="U126" s="19"/>
      <c r="V126" s="55" t="s">
        <v>78</v>
      </c>
      <c r="W126" s="19"/>
      <c r="X126" s="55" t="s">
        <v>79</v>
      </c>
      <c r="Y126" s="19"/>
      <c r="Z126" s="14"/>
    </row>
    <row r="127" ht="15.75" customHeight="1">
      <c r="A127" s="60">
        <v>1.0</v>
      </c>
      <c r="B127" s="61" t="s">
        <v>207</v>
      </c>
      <c r="C127" s="56" t="s">
        <v>217</v>
      </c>
      <c r="D127" s="18"/>
      <c r="E127" s="18"/>
      <c r="F127" s="19"/>
      <c r="G127" s="65" t="s">
        <v>376</v>
      </c>
      <c r="H127" s="18"/>
      <c r="I127" s="18"/>
      <c r="J127" s="19"/>
      <c r="K127" s="56"/>
      <c r="L127" s="18"/>
      <c r="M127" s="18"/>
      <c r="N127" s="19"/>
      <c r="O127" s="56" t="s">
        <v>83</v>
      </c>
      <c r="P127" s="18"/>
      <c r="Q127" s="19"/>
      <c r="R127" s="56" t="s">
        <v>84</v>
      </c>
      <c r="S127" s="19"/>
      <c r="T127" s="56"/>
      <c r="U127" s="19"/>
      <c r="V127" s="56"/>
      <c r="W127" s="19"/>
      <c r="X127" s="56"/>
      <c r="Y127" s="19"/>
      <c r="Z127" s="14"/>
    </row>
    <row r="128" ht="15.75" customHeight="1">
      <c r="A128" s="60">
        <v>2.0</v>
      </c>
      <c r="B128" s="61" t="s">
        <v>218</v>
      </c>
      <c r="C128" s="56" t="s">
        <v>219</v>
      </c>
      <c r="D128" s="18"/>
      <c r="E128" s="18"/>
      <c r="F128" s="19"/>
      <c r="G128" s="65" t="s">
        <v>387</v>
      </c>
      <c r="H128" s="18"/>
      <c r="I128" s="18"/>
      <c r="J128" s="19"/>
      <c r="K128" s="119">
        <v>20.0</v>
      </c>
      <c r="L128" s="18"/>
      <c r="M128" s="18"/>
      <c r="N128" s="19"/>
      <c r="O128" s="56" t="s">
        <v>83</v>
      </c>
      <c r="P128" s="18"/>
      <c r="Q128" s="19"/>
      <c r="R128" s="56"/>
      <c r="S128" s="19"/>
      <c r="T128" s="56"/>
      <c r="U128" s="19"/>
      <c r="V128" s="56" t="s">
        <v>84</v>
      </c>
      <c r="W128" s="19"/>
      <c r="X128" s="65" t="s">
        <v>413</v>
      </c>
      <c r="Y128" s="19"/>
      <c r="Z128" s="14"/>
    </row>
    <row r="129" ht="15.75" customHeight="1">
      <c r="A129" s="60">
        <v>3.0</v>
      </c>
      <c r="B129" s="61" t="s">
        <v>220</v>
      </c>
      <c r="C129" s="56" t="s">
        <v>221</v>
      </c>
      <c r="D129" s="18"/>
      <c r="E129" s="18"/>
      <c r="F129" s="19"/>
      <c r="G129" s="65" t="s">
        <v>414</v>
      </c>
      <c r="H129" s="18"/>
      <c r="I129" s="18"/>
      <c r="J129" s="19"/>
      <c r="K129" s="56"/>
      <c r="L129" s="18"/>
      <c r="M129" s="18"/>
      <c r="N129" s="19"/>
      <c r="O129" s="56" t="s">
        <v>83</v>
      </c>
      <c r="P129" s="18"/>
      <c r="Q129" s="19"/>
      <c r="R129" s="56"/>
      <c r="S129" s="19"/>
      <c r="T129" s="56"/>
      <c r="U129" s="19"/>
      <c r="V129" s="56"/>
      <c r="W129" s="19"/>
      <c r="X129" s="56"/>
      <c r="Y129" s="19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54">
        <v>14.0</v>
      </c>
      <c r="B131" s="55" t="s">
        <v>2</v>
      </c>
      <c r="C131" s="56" t="str">
        <f>B17</f>
        <v>t_maestra_tipo_publicacion</v>
      </c>
      <c r="D131" s="18"/>
      <c r="E131" s="18"/>
      <c r="F131" s="19"/>
      <c r="G131" s="55" t="s">
        <v>3</v>
      </c>
      <c r="H131" s="18"/>
      <c r="I131" s="18"/>
      <c r="J131" s="19"/>
      <c r="K131" s="39" t="str">
        <f>F17</f>
        <v>Catálogo que centraliza los tipos de contenido permitidos. Evita que el sistema tenga que procesar texto repetitivo y facilita el filtrado.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9"/>
      <c r="X131" s="57" t="s">
        <v>70</v>
      </c>
      <c r="Y131" s="114">
        <v>2.0</v>
      </c>
      <c r="Z131" s="51"/>
    </row>
    <row r="132" ht="15.75" customHeight="1">
      <c r="A132" s="59" t="s">
        <v>1</v>
      </c>
      <c r="B132" s="57" t="s">
        <v>71</v>
      </c>
      <c r="C132" s="55" t="s">
        <v>72</v>
      </c>
      <c r="D132" s="18"/>
      <c r="E132" s="18"/>
      <c r="F132" s="19"/>
      <c r="G132" s="55" t="s">
        <v>73</v>
      </c>
      <c r="H132" s="18"/>
      <c r="I132" s="18"/>
      <c r="J132" s="19"/>
      <c r="K132" s="55" t="s">
        <v>74</v>
      </c>
      <c r="L132" s="18"/>
      <c r="M132" s="18"/>
      <c r="N132" s="19"/>
      <c r="O132" s="55" t="s">
        <v>75</v>
      </c>
      <c r="P132" s="18"/>
      <c r="Q132" s="19"/>
      <c r="R132" s="55" t="s">
        <v>76</v>
      </c>
      <c r="S132" s="19"/>
      <c r="T132" s="55" t="s">
        <v>77</v>
      </c>
      <c r="U132" s="19"/>
      <c r="V132" s="55" t="s">
        <v>78</v>
      </c>
      <c r="W132" s="19"/>
      <c r="X132" s="55" t="s">
        <v>79</v>
      </c>
      <c r="Y132" s="19"/>
      <c r="Z132" s="14"/>
    </row>
    <row r="133" ht="15.75" customHeight="1">
      <c r="A133" s="60">
        <v>1.0</v>
      </c>
      <c r="B133" s="61" t="s">
        <v>204</v>
      </c>
      <c r="C133" s="56" t="s">
        <v>223</v>
      </c>
      <c r="D133" s="18"/>
      <c r="E133" s="18"/>
      <c r="F133" s="19"/>
      <c r="G133" s="65" t="s">
        <v>376</v>
      </c>
      <c r="H133" s="18"/>
      <c r="I133" s="18"/>
      <c r="J133" s="19"/>
      <c r="K133" s="56"/>
      <c r="L133" s="18"/>
      <c r="M133" s="18"/>
      <c r="N133" s="19"/>
      <c r="O133" s="56" t="s">
        <v>83</v>
      </c>
      <c r="P133" s="18"/>
      <c r="Q133" s="19"/>
      <c r="R133" s="56" t="s">
        <v>84</v>
      </c>
      <c r="S133" s="19"/>
      <c r="T133" s="56"/>
      <c r="U133" s="19"/>
      <c r="V133" s="56"/>
      <c r="W133" s="19"/>
      <c r="X133" s="56"/>
      <c r="Y133" s="19"/>
      <c r="Z133" s="14"/>
    </row>
    <row r="134" ht="15.75" customHeight="1">
      <c r="A134" s="60">
        <v>2.0</v>
      </c>
      <c r="B134" s="61" t="s">
        <v>224</v>
      </c>
      <c r="C134" s="65" t="s">
        <v>415</v>
      </c>
      <c r="D134" s="18"/>
      <c r="E134" s="18"/>
      <c r="F134" s="19"/>
      <c r="G134" s="65" t="s">
        <v>387</v>
      </c>
      <c r="H134" s="18"/>
      <c r="I134" s="18"/>
      <c r="J134" s="19"/>
      <c r="K134" s="65">
        <v>255.0</v>
      </c>
      <c r="L134" s="18"/>
      <c r="M134" s="18"/>
      <c r="N134" s="19"/>
      <c r="O134" s="56" t="s">
        <v>83</v>
      </c>
      <c r="P134" s="18"/>
      <c r="Q134" s="19"/>
      <c r="R134" s="56"/>
      <c r="S134" s="19"/>
      <c r="T134" s="56"/>
      <c r="U134" s="19"/>
      <c r="V134" s="56" t="s">
        <v>84</v>
      </c>
      <c r="W134" s="19"/>
      <c r="X134" s="65" t="s">
        <v>416</v>
      </c>
      <c r="Y134" s="19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54">
        <v>15.0</v>
      </c>
      <c r="B136" s="55" t="s">
        <v>2</v>
      </c>
      <c r="C136" s="56" t="str">
        <f>B18</f>
        <v>t_grupo</v>
      </c>
      <c r="D136" s="18"/>
      <c r="E136" s="18"/>
      <c r="F136" s="19"/>
      <c r="G136" s="55" t="s">
        <v>3</v>
      </c>
      <c r="H136" s="18"/>
      <c r="I136" s="18"/>
      <c r="J136" s="19"/>
      <c r="K136" s="39" t="str">
        <f>F18</f>
        <v>Tabla para las comunidades internas creadas por los usuarios de la red.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9"/>
      <c r="X136" s="57" t="s">
        <v>70</v>
      </c>
      <c r="Y136" s="114">
        <v>2.0</v>
      </c>
      <c r="Z136" s="51"/>
    </row>
    <row r="137" ht="15.75" customHeight="1">
      <c r="A137" s="59" t="s">
        <v>1</v>
      </c>
      <c r="B137" s="57" t="s">
        <v>71</v>
      </c>
      <c r="C137" s="55" t="s">
        <v>72</v>
      </c>
      <c r="D137" s="18"/>
      <c r="E137" s="18"/>
      <c r="F137" s="19"/>
      <c r="G137" s="55" t="s">
        <v>73</v>
      </c>
      <c r="H137" s="18"/>
      <c r="I137" s="18"/>
      <c r="J137" s="19"/>
      <c r="K137" s="55" t="s">
        <v>74</v>
      </c>
      <c r="L137" s="18"/>
      <c r="M137" s="18"/>
      <c r="N137" s="19"/>
      <c r="O137" s="55" t="s">
        <v>75</v>
      </c>
      <c r="P137" s="18"/>
      <c r="Q137" s="19"/>
      <c r="R137" s="55" t="s">
        <v>76</v>
      </c>
      <c r="S137" s="19"/>
      <c r="T137" s="55" t="s">
        <v>77</v>
      </c>
      <c r="U137" s="19"/>
      <c r="V137" s="55" t="s">
        <v>78</v>
      </c>
      <c r="W137" s="19"/>
      <c r="X137" s="55" t="s">
        <v>79</v>
      </c>
      <c r="Y137" s="19"/>
      <c r="Z137" s="14"/>
    </row>
    <row r="138" ht="15.75" customHeight="1">
      <c r="A138" s="60">
        <v>1.0</v>
      </c>
      <c r="B138" s="61" t="s">
        <v>227</v>
      </c>
      <c r="C138" s="56" t="s">
        <v>228</v>
      </c>
      <c r="D138" s="18"/>
      <c r="E138" s="18"/>
      <c r="F138" s="19"/>
      <c r="G138" s="65" t="s">
        <v>376</v>
      </c>
      <c r="H138" s="18"/>
      <c r="I138" s="18"/>
      <c r="J138" s="19"/>
      <c r="K138" s="56"/>
      <c r="L138" s="18"/>
      <c r="M138" s="18"/>
      <c r="N138" s="19"/>
      <c r="O138" s="56" t="s">
        <v>83</v>
      </c>
      <c r="P138" s="18"/>
      <c r="Q138" s="19"/>
      <c r="R138" s="56" t="s">
        <v>84</v>
      </c>
      <c r="S138" s="19"/>
      <c r="T138" s="56"/>
      <c r="U138" s="19"/>
      <c r="V138" s="56"/>
      <c r="W138" s="19"/>
      <c r="X138" s="56" t="s">
        <v>229</v>
      </c>
      <c r="Y138" s="19"/>
      <c r="Z138" s="14"/>
    </row>
    <row r="139" ht="15.75" customHeight="1">
      <c r="A139" s="60">
        <v>2.0</v>
      </c>
      <c r="B139" s="61" t="s">
        <v>230</v>
      </c>
      <c r="C139" s="56" t="s">
        <v>231</v>
      </c>
      <c r="D139" s="18"/>
      <c r="E139" s="18"/>
      <c r="F139" s="19"/>
      <c r="G139" s="65" t="s">
        <v>82</v>
      </c>
      <c r="H139" s="18"/>
      <c r="I139" s="18"/>
      <c r="J139" s="19"/>
      <c r="K139" s="56"/>
      <c r="L139" s="18"/>
      <c r="M139" s="18"/>
      <c r="N139" s="19"/>
      <c r="O139" s="56" t="s">
        <v>83</v>
      </c>
      <c r="P139" s="18"/>
      <c r="Q139" s="19"/>
      <c r="R139" s="56"/>
      <c r="S139" s="19"/>
      <c r="T139" s="56" t="s">
        <v>84</v>
      </c>
      <c r="U139" s="19"/>
      <c r="V139" s="56"/>
      <c r="W139" s="19"/>
      <c r="X139" s="56" t="s">
        <v>232</v>
      </c>
      <c r="Y139" s="19"/>
      <c r="Z139" s="14"/>
    </row>
    <row r="140" ht="15.75" customHeight="1">
      <c r="A140" s="60">
        <v>3.0</v>
      </c>
      <c r="B140" s="61" t="s">
        <v>233</v>
      </c>
      <c r="C140" s="56" t="s">
        <v>234</v>
      </c>
      <c r="D140" s="18"/>
      <c r="E140" s="18"/>
      <c r="F140" s="19"/>
      <c r="G140" s="65" t="s">
        <v>387</v>
      </c>
      <c r="H140" s="18"/>
      <c r="I140" s="18"/>
      <c r="J140" s="19"/>
      <c r="K140" s="67">
        <v>100.0</v>
      </c>
      <c r="L140" s="18"/>
      <c r="M140" s="18"/>
      <c r="N140" s="19"/>
      <c r="O140" s="56" t="s">
        <v>83</v>
      </c>
      <c r="P140" s="18"/>
      <c r="Q140" s="19"/>
      <c r="R140" s="56"/>
      <c r="S140" s="19"/>
      <c r="T140" s="56"/>
      <c r="U140" s="19"/>
      <c r="V140" s="56" t="s">
        <v>84</v>
      </c>
      <c r="W140" s="19"/>
      <c r="X140" s="56" t="s">
        <v>235</v>
      </c>
      <c r="Y140" s="19"/>
      <c r="Z140" s="14"/>
    </row>
    <row r="141" ht="15.75" customHeight="1">
      <c r="A141" s="60">
        <v>4.0</v>
      </c>
      <c r="B141" s="61" t="s">
        <v>236</v>
      </c>
      <c r="C141" s="56" t="s">
        <v>237</v>
      </c>
      <c r="D141" s="18"/>
      <c r="E141" s="18"/>
      <c r="F141" s="19"/>
      <c r="G141" s="65" t="s">
        <v>380</v>
      </c>
      <c r="H141" s="18"/>
      <c r="I141" s="18"/>
      <c r="J141" s="19"/>
      <c r="K141" s="65"/>
      <c r="L141" s="18"/>
      <c r="M141" s="18"/>
      <c r="N141" s="19"/>
      <c r="O141" s="56" t="s">
        <v>117</v>
      </c>
      <c r="P141" s="18"/>
      <c r="Q141" s="19"/>
      <c r="R141" s="56"/>
      <c r="S141" s="19"/>
      <c r="T141" s="56"/>
      <c r="U141" s="19"/>
      <c r="V141" s="56"/>
      <c r="W141" s="19"/>
      <c r="X141" s="56" t="s">
        <v>238</v>
      </c>
      <c r="Y141" s="19"/>
      <c r="Z141" s="14"/>
    </row>
    <row r="142" ht="15.75" customHeight="1">
      <c r="A142" s="60">
        <v>5.0</v>
      </c>
      <c r="B142" s="61" t="s">
        <v>239</v>
      </c>
      <c r="C142" s="56" t="s">
        <v>240</v>
      </c>
      <c r="D142" s="18"/>
      <c r="E142" s="18"/>
      <c r="F142" s="19"/>
      <c r="G142" s="65" t="s">
        <v>182</v>
      </c>
      <c r="H142" s="18"/>
      <c r="I142" s="18"/>
      <c r="J142" s="19"/>
      <c r="K142" s="56"/>
      <c r="L142" s="18"/>
      <c r="M142" s="18"/>
      <c r="N142" s="19"/>
      <c r="O142" s="56" t="s">
        <v>83</v>
      </c>
      <c r="P142" s="18"/>
      <c r="Q142" s="19"/>
      <c r="R142" s="56"/>
      <c r="S142" s="19"/>
      <c r="T142" s="56"/>
      <c r="U142" s="19"/>
      <c r="V142" s="56"/>
      <c r="W142" s="19"/>
      <c r="X142" s="56" t="s">
        <v>241</v>
      </c>
      <c r="Y142" s="19"/>
      <c r="Z142" s="14"/>
    </row>
    <row r="143" ht="15.75" customHeight="1">
      <c r="A143" s="60">
        <v>6.0</v>
      </c>
      <c r="B143" s="61" t="s">
        <v>242</v>
      </c>
      <c r="C143" s="56" t="s">
        <v>243</v>
      </c>
      <c r="D143" s="18"/>
      <c r="E143" s="18"/>
      <c r="F143" s="19"/>
      <c r="G143" s="65" t="s">
        <v>387</v>
      </c>
      <c r="H143" s="18"/>
      <c r="I143" s="18"/>
      <c r="J143" s="19"/>
      <c r="K143" s="65">
        <v>20.0</v>
      </c>
      <c r="L143" s="18"/>
      <c r="M143" s="18"/>
      <c r="N143" s="19"/>
      <c r="O143" s="56" t="s">
        <v>83</v>
      </c>
      <c r="P143" s="18"/>
      <c r="Q143" s="19"/>
      <c r="R143" s="56"/>
      <c r="S143" s="19"/>
      <c r="T143" s="56"/>
      <c r="U143" s="19"/>
      <c r="V143" s="56"/>
      <c r="W143" s="19"/>
      <c r="X143" s="56" t="s">
        <v>244</v>
      </c>
      <c r="Y143" s="19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54">
        <v>16.0</v>
      </c>
      <c r="B145" s="55" t="s">
        <v>2</v>
      </c>
      <c r="C145" s="56" t="str">
        <f>B19</f>
        <v>t_tipo_grupo</v>
      </c>
      <c r="D145" s="18"/>
      <c r="E145" s="18"/>
      <c r="F145" s="19"/>
      <c r="G145" s="55" t="s">
        <v>3</v>
      </c>
      <c r="H145" s="18"/>
      <c r="I145" s="18"/>
      <c r="J145" s="19"/>
      <c r="K145" s="39" t="str">
        <f>F19</f>
        <v>Clasifica los grupos en temas. Al ser una relación de muchos a muchos, permite que un grupo tenga varias etiquetas simultáneamente.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9"/>
      <c r="X145" s="57" t="s">
        <v>70</v>
      </c>
      <c r="Y145" s="114">
        <v>2.0</v>
      </c>
      <c r="Z145" s="51"/>
    </row>
    <row r="146" ht="15.75" customHeight="1">
      <c r="A146" s="59" t="s">
        <v>1</v>
      </c>
      <c r="B146" s="57" t="s">
        <v>71</v>
      </c>
      <c r="C146" s="55" t="s">
        <v>72</v>
      </c>
      <c r="D146" s="18"/>
      <c r="E146" s="18"/>
      <c r="F146" s="19"/>
      <c r="G146" s="55" t="s">
        <v>73</v>
      </c>
      <c r="H146" s="18"/>
      <c r="I146" s="18"/>
      <c r="J146" s="19"/>
      <c r="K146" s="55" t="s">
        <v>74</v>
      </c>
      <c r="L146" s="18"/>
      <c r="M146" s="18"/>
      <c r="N146" s="19"/>
      <c r="O146" s="55" t="s">
        <v>75</v>
      </c>
      <c r="P146" s="18"/>
      <c r="Q146" s="19"/>
      <c r="R146" s="55" t="s">
        <v>76</v>
      </c>
      <c r="S146" s="19"/>
      <c r="T146" s="55" t="s">
        <v>77</v>
      </c>
      <c r="U146" s="19"/>
      <c r="V146" s="55" t="s">
        <v>78</v>
      </c>
      <c r="W146" s="19"/>
      <c r="X146" s="55" t="s">
        <v>79</v>
      </c>
      <c r="Y146" s="19"/>
      <c r="Z146" s="14"/>
    </row>
    <row r="147" ht="15.75" customHeight="1">
      <c r="A147" s="60">
        <v>1.0</v>
      </c>
      <c r="B147" s="61" t="s">
        <v>245</v>
      </c>
      <c r="C147" s="56" t="s">
        <v>246</v>
      </c>
      <c r="D147" s="18"/>
      <c r="E147" s="18"/>
      <c r="F147" s="19"/>
      <c r="G147" s="65" t="s">
        <v>123</v>
      </c>
      <c r="H147" s="18"/>
      <c r="I147" s="18"/>
      <c r="J147" s="19"/>
      <c r="K147" s="56"/>
      <c r="L147" s="18"/>
      <c r="M147" s="18"/>
      <c r="N147" s="19"/>
      <c r="O147" s="56" t="s">
        <v>83</v>
      </c>
      <c r="P147" s="18"/>
      <c r="Q147" s="19"/>
      <c r="R147" s="56" t="s">
        <v>84</v>
      </c>
      <c r="S147" s="19"/>
      <c r="T147" s="56" t="s">
        <v>84</v>
      </c>
      <c r="U147" s="19"/>
      <c r="V147" s="56"/>
      <c r="W147" s="19"/>
      <c r="X147" s="56" t="s">
        <v>247</v>
      </c>
      <c r="Y147" s="66"/>
      <c r="Z147" s="14"/>
    </row>
    <row r="148" ht="15.75" customHeight="1">
      <c r="A148" s="60">
        <v>2.0</v>
      </c>
      <c r="B148" s="61" t="s">
        <v>227</v>
      </c>
      <c r="C148" s="56" t="s">
        <v>248</v>
      </c>
      <c r="D148" s="18"/>
      <c r="E148" s="18"/>
      <c r="F148" s="19"/>
      <c r="G148" s="65" t="s">
        <v>123</v>
      </c>
      <c r="H148" s="18"/>
      <c r="I148" s="18"/>
      <c r="J148" s="19"/>
      <c r="K148" s="56"/>
      <c r="L148" s="18"/>
      <c r="M148" s="18"/>
      <c r="N148" s="19"/>
      <c r="O148" s="56" t="s">
        <v>83</v>
      </c>
      <c r="P148" s="18"/>
      <c r="Q148" s="19"/>
      <c r="R148" s="56" t="s">
        <v>84</v>
      </c>
      <c r="S148" s="19"/>
      <c r="T148" s="56" t="s">
        <v>84</v>
      </c>
      <c r="U148" s="19"/>
      <c r="V148" s="56"/>
      <c r="W148" s="19"/>
      <c r="X148" s="56" t="s">
        <v>173</v>
      </c>
      <c r="Y148" s="66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54">
        <v>17.0</v>
      </c>
      <c r="B150" s="55" t="s">
        <v>2</v>
      </c>
      <c r="C150" s="56" t="str">
        <f>B20</f>
        <v>t_maestra_tipo_grupo</v>
      </c>
      <c r="D150" s="18"/>
      <c r="E150" s="18"/>
      <c r="F150" s="19"/>
      <c r="G150" s="55" t="s">
        <v>3</v>
      </c>
      <c r="H150" s="18"/>
      <c r="I150" s="18"/>
      <c r="J150" s="19"/>
      <c r="K150" s="39" t="str">
        <f>F20</f>
        <v>Catálogo centralizado de temáticas o etiquetas para los grupos. Permite la existencia de categorías sin dependencia de registros activos.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9"/>
      <c r="X150" s="57" t="s">
        <v>70</v>
      </c>
      <c r="Y150" s="114">
        <v>2.0</v>
      </c>
      <c r="Z150" s="51"/>
    </row>
    <row r="151" ht="15.75" customHeight="1">
      <c r="A151" s="59" t="s">
        <v>1</v>
      </c>
      <c r="B151" s="57" t="s">
        <v>71</v>
      </c>
      <c r="C151" s="55" t="s">
        <v>72</v>
      </c>
      <c r="D151" s="18"/>
      <c r="E151" s="18"/>
      <c r="F151" s="19"/>
      <c r="G151" s="55" t="s">
        <v>73</v>
      </c>
      <c r="H151" s="18"/>
      <c r="I151" s="18"/>
      <c r="J151" s="19"/>
      <c r="K151" s="55" t="s">
        <v>74</v>
      </c>
      <c r="L151" s="18"/>
      <c r="M151" s="18"/>
      <c r="N151" s="19"/>
      <c r="O151" s="55" t="s">
        <v>75</v>
      </c>
      <c r="P151" s="18"/>
      <c r="Q151" s="19"/>
      <c r="R151" s="55" t="s">
        <v>76</v>
      </c>
      <c r="S151" s="19"/>
      <c r="T151" s="55" t="s">
        <v>77</v>
      </c>
      <c r="U151" s="19"/>
      <c r="V151" s="55" t="s">
        <v>78</v>
      </c>
      <c r="W151" s="19"/>
      <c r="X151" s="55" t="s">
        <v>79</v>
      </c>
      <c r="Y151" s="19"/>
      <c r="Z151" s="14"/>
    </row>
    <row r="152" ht="15.75" customHeight="1">
      <c r="A152" s="60">
        <v>1.0</v>
      </c>
      <c r="B152" s="61" t="s">
        <v>245</v>
      </c>
      <c r="C152" s="56" t="s">
        <v>249</v>
      </c>
      <c r="D152" s="18"/>
      <c r="E152" s="18"/>
      <c r="F152" s="19"/>
      <c r="G152" s="65" t="s">
        <v>376</v>
      </c>
      <c r="H152" s="18"/>
      <c r="I152" s="18"/>
      <c r="J152" s="19"/>
      <c r="K152" s="56"/>
      <c r="L152" s="18"/>
      <c r="M152" s="18"/>
      <c r="N152" s="19"/>
      <c r="O152" s="56" t="s">
        <v>83</v>
      </c>
      <c r="P152" s="18"/>
      <c r="Q152" s="19"/>
      <c r="R152" s="56" t="s">
        <v>84</v>
      </c>
      <c r="S152" s="19"/>
      <c r="T152" s="56"/>
      <c r="U152" s="19"/>
      <c r="V152" s="56"/>
      <c r="W152" s="19"/>
      <c r="X152" s="56"/>
      <c r="Y152" s="19"/>
      <c r="Z152" s="14"/>
    </row>
    <row r="153" ht="15.75" customHeight="1">
      <c r="A153" s="60">
        <v>2.0</v>
      </c>
      <c r="B153" s="61" t="s">
        <v>250</v>
      </c>
      <c r="C153" s="56" t="s">
        <v>251</v>
      </c>
      <c r="D153" s="18"/>
      <c r="E153" s="18"/>
      <c r="F153" s="19"/>
      <c r="G153" s="65" t="s">
        <v>387</v>
      </c>
      <c r="H153" s="18"/>
      <c r="I153" s="18"/>
      <c r="J153" s="19"/>
      <c r="K153" s="119">
        <v>20.0</v>
      </c>
      <c r="L153" s="18"/>
      <c r="M153" s="18"/>
      <c r="N153" s="19"/>
      <c r="O153" s="56" t="s">
        <v>83</v>
      </c>
      <c r="P153" s="18"/>
      <c r="Q153" s="19"/>
      <c r="R153" s="56"/>
      <c r="S153" s="19"/>
      <c r="T153" s="56"/>
      <c r="U153" s="19"/>
      <c r="V153" s="56" t="s">
        <v>84</v>
      </c>
      <c r="W153" s="19"/>
      <c r="X153" s="65" t="s">
        <v>417</v>
      </c>
      <c r="Y153" s="19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54">
        <v>18.0</v>
      </c>
      <c r="B155" s="55" t="s">
        <v>2</v>
      </c>
      <c r="C155" s="56" t="str">
        <f>B21</f>
        <v>t_regla_grupo</v>
      </c>
      <c r="D155" s="18"/>
      <c r="E155" s="18"/>
      <c r="F155" s="19"/>
      <c r="G155" s="55" t="s">
        <v>3</v>
      </c>
      <c r="H155" s="18"/>
      <c r="I155" s="18"/>
      <c r="J155" s="19"/>
      <c r="K155" s="39" t="str">
        <f>F21</f>
        <v>Almacena las normas específicas por grupo. Permite la visualización de reglas como listas ordenadas e independientes para mejorar la legibilidad.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9"/>
      <c r="X155" s="57" t="s">
        <v>70</v>
      </c>
      <c r="Y155" s="114">
        <v>2.0</v>
      </c>
      <c r="Z155" s="51"/>
    </row>
    <row r="156" ht="15.75" customHeight="1">
      <c r="A156" s="59" t="s">
        <v>1</v>
      </c>
      <c r="B156" s="57" t="s">
        <v>71</v>
      </c>
      <c r="C156" s="55" t="s">
        <v>72</v>
      </c>
      <c r="D156" s="18"/>
      <c r="E156" s="18"/>
      <c r="F156" s="19"/>
      <c r="G156" s="55" t="s">
        <v>73</v>
      </c>
      <c r="H156" s="18"/>
      <c r="I156" s="18"/>
      <c r="J156" s="19"/>
      <c r="K156" s="55" t="s">
        <v>74</v>
      </c>
      <c r="L156" s="18"/>
      <c r="M156" s="18"/>
      <c r="N156" s="19"/>
      <c r="O156" s="55" t="s">
        <v>75</v>
      </c>
      <c r="P156" s="18"/>
      <c r="Q156" s="19"/>
      <c r="R156" s="55" t="s">
        <v>76</v>
      </c>
      <c r="S156" s="19"/>
      <c r="T156" s="55" t="s">
        <v>77</v>
      </c>
      <c r="U156" s="19"/>
      <c r="V156" s="55" t="s">
        <v>78</v>
      </c>
      <c r="W156" s="19"/>
      <c r="X156" s="55" t="s">
        <v>79</v>
      </c>
      <c r="Y156" s="19"/>
      <c r="Z156" s="14"/>
    </row>
    <row r="157" ht="15.75" customHeight="1">
      <c r="A157" s="60">
        <v>1.0</v>
      </c>
      <c r="B157" s="61" t="s">
        <v>252</v>
      </c>
      <c r="C157" s="56" t="s">
        <v>253</v>
      </c>
      <c r="D157" s="18"/>
      <c r="E157" s="18"/>
      <c r="F157" s="19"/>
      <c r="G157" s="65" t="s">
        <v>376</v>
      </c>
      <c r="H157" s="18"/>
      <c r="I157" s="18"/>
      <c r="J157" s="19"/>
      <c r="K157" s="56"/>
      <c r="L157" s="18"/>
      <c r="M157" s="18"/>
      <c r="N157" s="19"/>
      <c r="O157" s="56" t="s">
        <v>83</v>
      </c>
      <c r="P157" s="18"/>
      <c r="Q157" s="19"/>
      <c r="R157" s="56" t="s">
        <v>84</v>
      </c>
      <c r="S157" s="19"/>
      <c r="T157" s="56"/>
      <c r="U157" s="19"/>
      <c r="V157" s="56"/>
      <c r="W157" s="19"/>
      <c r="X157" s="56" t="s">
        <v>229</v>
      </c>
      <c r="Y157" s="19"/>
      <c r="Z157" s="14"/>
    </row>
    <row r="158" ht="15.75" customHeight="1">
      <c r="A158" s="60">
        <v>2.0</v>
      </c>
      <c r="B158" s="61" t="s">
        <v>227</v>
      </c>
      <c r="C158" s="56" t="s">
        <v>254</v>
      </c>
      <c r="D158" s="18"/>
      <c r="E158" s="18"/>
      <c r="F158" s="19"/>
      <c r="G158" s="65" t="s">
        <v>123</v>
      </c>
      <c r="H158" s="18"/>
      <c r="I158" s="18"/>
      <c r="J158" s="19"/>
      <c r="K158" s="56"/>
      <c r="L158" s="18"/>
      <c r="M158" s="18"/>
      <c r="N158" s="19"/>
      <c r="O158" s="56" t="s">
        <v>83</v>
      </c>
      <c r="P158" s="18"/>
      <c r="Q158" s="19"/>
      <c r="R158" s="56"/>
      <c r="S158" s="19"/>
      <c r="T158" s="56" t="s">
        <v>84</v>
      </c>
      <c r="U158" s="19"/>
      <c r="V158" s="56"/>
      <c r="W158" s="19"/>
      <c r="X158" s="56"/>
      <c r="Y158" s="19"/>
      <c r="Z158" s="14"/>
    </row>
    <row r="159" ht="15.75" customHeight="1">
      <c r="A159" s="60">
        <v>3.0</v>
      </c>
      <c r="B159" s="61" t="s">
        <v>255</v>
      </c>
      <c r="C159" s="56" t="s">
        <v>256</v>
      </c>
      <c r="D159" s="18"/>
      <c r="E159" s="18"/>
      <c r="F159" s="19"/>
      <c r="G159" s="65" t="s">
        <v>387</v>
      </c>
      <c r="H159" s="18"/>
      <c r="I159" s="18"/>
      <c r="J159" s="19"/>
      <c r="K159" s="119">
        <v>200.0</v>
      </c>
      <c r="L159" s="18"/>
      <c r="M159" s="18"/>
      <c r="N159" s="19"/>
      <c r="O159" s="56" t="s">
        <v>83</v>
      </c>
      <c r="P159" s="18"/>
      <c r="Q159" s="19"/>
      <c r="R159" s="56"/>
      <c r="S159" s="19"/>
      <c r="T159" s="56"/>
      <c r="U159" s="19"/>
      <c r="V159" s="56"/>
      <c r="W159" s="19"/>
      <c r="X159" s="56"/>
      <c r="Y159" s="19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54">
        <v>19.0</v>
      </c>
      <c r="B161" s="55" t="s">
        <v>2</v>
      </c>
      <c r="C161" s="56" t="str">
        <f>B22</f>
        <v>t_usuario_grupo			</v>
      </c>
      <c r="D161" s="18"/>
      <c r="E161" s="18"/>
      <c r="F161" s="19"/>
      <c r="G161" s="55" t="s">
        <v>3</v>
      </c>
      <c r="H161" s="18"/>
      <c r="I161" s="18"/>
      <c r="J161" s="19"/>
      <c r="K161" s="39" t="str">
        <f>F22</f>
        <v>Su función es clasificar a los grupos en diferentes temas, Permite que un mismo grupo pueda tener varias etiquetas a la vez.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9"/>
      <c r="X161" s="57" t="s">
        <v>70</v>
      </c>
      <c r="Y161" s="114">
        <v>2.0</v>
      </c>
      <c r="Z161" s="51"/>
    </row>
    <row r="162" ht="15.75" customHeight="1">
      <c r="A162" s="59" t="s">
        <v>1</v>
      </c>
      <c r="B162" s="57" t="s">
        <v>71</v>
      </c>
      <c r="C162" s="55" t="s">
        <v>72</v>
      </c>
      <c r="D162" s="18"/>
      <c r="E162" s="18"/>
      <c r="F162" s="19"/>
      <c r="G162" s="55" t="s">
        <v>73</v>
      </c>
      <c r="H162" s="18"/>
      <c r="I162" s="18"/>
      <c r="J162" s="19"/>
      <c r="K162" s="55" t="s">
        <v>74</v>
      </c>
      <c r="L162" s="18"/>
      <c r="M162" s="18"/>
      <c r="N162" s="19"/>
      <c r="O162" s="55" t="s">
        <v>75</v>
      </c>
      <c r="P162" s="18"/>
      <c r="Q162" s="19"/>
      <c r="R162" s="55" t="s">
        <v>76</v>
      </c>
      <c r="S162" s="19"/>
      <c r="T162" s="55" t="s">
        <v>77</v>
      </c>
      <c r="U162" s="19"/>
      <c r="V162" s="55" t="s">
        <v>78</v>
      </c>
      <c r="W162" s="19"/>
      <c r="X162" s="55" t="s">
        <v>79</v>
      </c>
      <c r="Y162" s="19"/>
      <c r="Z162" s="14"/>
    </row>
    <row r="163" ht="15.75" customHeight="1">
      <c r="A163" s="60">
        <v>1.0</v>
      </c>
      <c r="B163" s="61" t="s">
        <v>86</v>
      </c>
      <c r="C163" s="56" t="s">
        <v>257</v>
      </c>
      <c r="D163" s="18"/>
      <c r="E163" s="18"/>
      <c r="F163" s="19"/>
      <c r="G163" s="65" t="s">
        <v>82</v>
      </c>
      <c r="H163" s="18"/>
      <c r="I163" s="18"/>
      <c r="J163" s="19"/>
      <c r="K163" s="56"/>
      <c r="L163" s="18"/>
      <c r="M163" s="18"/>
      <c r="N163" s="19"/>
      <c r="O163" s="56" t="s">
        <v>176</v>
      </c>
      <c r="P163" s="18"/>
      <c r="Q163" s="19"/>
      <c r="R163" s="56" t="s">
        <v>84</v>
      </c>
      <c r="S163" s="19"/>
      <c r="T163" s="56" t="s">
        <v>84</v>
      </c>
      <c r="U163" s="19"/>
      <c r="V163" s="56"/>
      <c r="W163" s="19"/>
      <c r="X163" s="56" t="s">
        <v>173</v>
      </c>
      <c r="Y163" s="19"/>
      <c r="Z163" s="14"/>
    </row>
    <row r="164" ht="15.75" customHeight="1">
      <c r="A164" s="60">
        <v>2.0</v>
      </c>
      <c r="B164" s="61" t="s">
        <v>227</v>
      </c>
      <c r="C164" s="56" t="s">
        <v>258</v>
      </c>
      <c r="D164" s="18"/>
      <c r="E164" s="18"/>
      <c r="F164" s="19"/>
      <c r="G164" s="65" t="s">
        <v>123</v>
      </c>
      <c r="H164" s="18"/>
      <c r="I164" s="18"/>
      <c r="J164" s="19"/>
      <c r="K164" s="56"/>
      <c r="L164" s="18"/>
      <c r="M164" s="18"/>
      <c r="N164" s="19"/>
      <c r="O164" s="56" t="s">
        <v>176</v>
      </c>
      <c r="P164" s="18"/>
      <c r="Q164" s="19"/>
      <c r="R164" s="56" t="s">
        <v>84</v>
      </c>
      <c r="S164" s="19"/>
      <c r="T164" s="56" t="s">
        <v>84</v>
      </c>
      <c r="U164" s="19"/>
      <c r="V164" s="56"/>
      <c r="W164" s="19"/>
      <c r="X164" s="56" t="s">
        <v>173</v>
      </c>
      <c r="Y164" s="19"/>
      <c r="Z164" s="14"/>
    </row>
    <row r="165" ht="15.75" customHeight="1">
      <c r="A165" s="60">
        <v>3.0</v>
      </c>
      <c r="B165" s="61" t="s">
        <v>259</v>
      </c>
      <c r="C165" s="56" t="s">
        <v>260</v>
      </c>
      <c r="D165" s="18"/>
      <c r="E165" s="18"/>
      <c r="F165" s="19"/>
      <c r="G165" s="65" t="s">
        <v>182</v>
      </c>
      <c r="H165" s="18"/>
      <c r="I165" s="18"/>
      <c r="J165" s="19"/>
      <c r="K165" s="56"/>
      <c r="L165" s="18"/>
      <c r="M165" s="18"/>
      <c r="N165" s="19"/>
      <c r="O165" s="56" t="s">
        <v>176</v>
      </c>
      <c r="P165" s="18"/>
      <c r="Q165" s="19"/>
      <c r="R165" s="56"/>
      <c r="S165" s="19"/>
      <c r="T165" s="56"/>
      <c r="U165" s="19"/>
      <c r="V165" s="56"/>
      <c r="W165" s="19"/>
      <c r="X165" s="56" t="s">
        <v>261</v>
      </c>
      <c r="Y165" s="19"/>
      <c r="Z165" s="14"/>
    </row>
    <row r="166" ht="15.75" customHeight="1">
      <c r="A166" s="60">
        <v>4.0</v>
      </c>
      <c r="B166" s="61" t="s">
        <v>262</v>
      </c>
      <c r="C166" s="56" t="s">
        <v>263</v>
      </c>
      <c r="D166" s="18"/>
      <c r="E166" s="18"/>
      <c r="F166" s="19"/>
      <c r="G166" s="65" t="s">
        <v>387</v>
      </c>
      <c r="H166" s="18"/>
      <c r="I166" s="18"/>
      <c r="J166" s="19"/>
      <c r="K166" s="65">
        <v>20.0</v>
      </c>
      <c r="L166" s="18"/>
      <c r="M166" s="18"/>
      <c r="N166" s="19"/>
      <c r="O166" s="56" t="s">
        <v>176</v>
      </c>
      <c r="P166" s="18"/>
      <c r="Q166" s="19"/>
      <c r="R166" s="56"/>
      <c r="S166" s="19"/>
      <c r="T166" s="56"/>
      <c r="U166" s="19"/>
      <c r="V166" s="56"/>
      <c r="W166" s="19"/>
      <c r="X166" s="56" t="s">
        <v>264</v>
      </c>
      <c r="Y166" s="19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54">
        <v>20.0</v>
      </c>
      <c r="B168" s="55" t="s">
        <v>2</v>
      </c>
      <c r="C168" s="56" t="str">
        <f>B23</f>
        <v>t_evento</v>
      </c>
      <c r="D168" s="18"/>
      <c r="E168" s="18"/>
      <c r="F168" s="19"/>
      <c r="G168" s="55" t="s">
        <v>3</v>
      </c>
      <c r="H168" s="18"/>
      <c r="I168" s="18"/>
      <c r="J168" s="19"/>
      <c r="K168" s="39" t="str">
        <f>F23</f>
        <v>Registro detallado de actividades, talleres y agendas académicas o sociales de la red.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9"/>
      <c r="X168" s="57" t="s">
        <v>70</v>
      </c>
      <c r="Y168" s="114">
        <v>2.0</v>
      </c>
      <c r="Z168" s="51"/>
    </row>
    <row r="169" ht="15.75" customHeight="1">
      <c r="A169" s="59" t="s">
        <v>1</v>
      </c>
      <c r="B169" s="57" t="s">
        <v>71</v>
      </c>
      <c r="C169" s="55" t="s">
        <v>72</v>
      </c>
      <c r="D169" s="18"/>
      <c r="E169" s="18"/>
      <c r="F169" s="19"/>
      <c r="G169" s="55" t="s">
        <v>73</v>
      </c>
      <c r="H169" s="18"/>
      <c r="I169" s="18"/>
      <c r="J169" s="19"/>
      <c r="K169" s="55" t="s">
        <v>74</v>
      </c>
      <c r="L169" s="18"/>
      <c r="M169" s="18"/>
      <c r="N169" s="19"/>
      <c r="O169" s="55" t="s">
        <v>75</v>
      </c>
      <c r="P169" s="18"/>
      <c r="Q169" s="19"/>
      <c r="R169" s="55" t="s">
        <v>76</v>
      </c>
      <c r="S169" s="19"/>
      <c r="T169" s="55" t="s">
        <v>77</v>
      </c>
      <c r="U169" s="19"/>
      <c r="V169" s="55" t="s">
        <v>78</v>
      </c>
      <c r="W169" s="19"/>
      <c r="X169" s="55" t="s">
        <v>79</v>
      </c>
      <c r="Y169" s="19"/>
      <c r="Z169" s="14"/>
    </row>
    <row r="170" ht="15.75" customHeight="1">
      <c r="A170" s="60">
        <v>1.0</v>
      </c>
      <c r="B170" s="61" t="s">
        <v>265</v>
      </c>
      <c r="C170" s="56" t="s">
        <v>266</v>
      </c>
      <c r="D170" s="18"/>
      <c r="E170" s="18"/>
      <c r="F170" s="19"/>
      <c r="G170" s="65" t="s">
        <v>376</v>
      </c>
      <c r="H170" s="18"/>
      <c r="I170" s="18"/>
      <c r="J170" s="19"/>
      <c r="K170" s="56"/>
      <c r="L170" s="18"/>
      <c r="M170" s="18"/>
      <c r="N170" s="19"/>
      <c r="O170" s="56" t="s">
        <v>176</v>
      </c>
      <c r="P170" s="18"/>
      <c r="Q170" s="19"/>
      <c r="R170" s="56" t="s">
        <v>84</v>
      </c>
      <c r="S170" s="19"/>
      <c r="T170" s="56"/>
      <c r="U170" s="19"/>
      <c r="V170" s="56"/>
      <c r="W170" s="19"/>
      <c r="X170" s="56" t="s">
        <v>229</v>
      </c>
      <c r="Y170" s="19"/>
      <c r="Z170" s="14"/>
    </row>
    <row r="171" ht="15.75" customHeight="1">
      <c r="A171" s="60">
        <v>2.0</v>
      </c>
      <c r="B171" s="61" t="s">
        <v>86</v>
      </c>
      <c r="C171" s="56" t="s">
        <v>257</v>
      </c>
      <c r="D171" s="18"/>
      <c r="E171" s="18"/>
      <c r="F171" s="19"/>
      <c r="G171" s="65" t="s">
        <v>82</v>
      </c>
      <c r="H171" s="18"/>
      <c r="I171" s="18"/>
      <c r="J171" s="19"/>
      <c r="K171" s="56"/>
      <c r="L171" s="18"/>
      <c r="M171" s="18"/>
      <c r="N171" s="19"/>
      <c r="O171" s="56" t="s">
        <v>176</v>
      </c>
      <c r="P171" s="18"/>
      <c r="Q171" s="19"/>
      <c r="R171" s="56"/>
      <c r="S171" s="19"/>
      <c r="T171" s="56" t="s">
        <v>84</v>
      </c>
      <c r="U171" s="19"/>
      <c r="V171" s="56"/>
      <c r="W171" s="19"/>
      <c r="X171" s="56"/>
      <c r="Y171" s="19"/>
      <c r="Z171" s="14"/>
    </row>
    <row r="172" ht="15.75" customHeight="1">
      <c r="A172" s="60">
        <v>3.0</v>
      </c>
      <c r="B172" s="61" t="s">
        <v>269</v>
      </c>
      <c r="C172" s="56" t="s">
        <v>270</v>
      </c>
      <c r="D172" s="18"/>
      <c r="E172" s="18"/>
      <c r="F172" s="19"/>
      <c r="G172" s="65" t="s">
        <v>123</v>
      </c>
      <c r="H172" s="18"/>
      <c r="I172" s="18"/>
      <c r="J172" s="19"/>
      <c r="K172" s="56"/>
      <c r="L172" s="18"/>
      <c r="M172" s="18"/>
      <c r="N172" s="19"/>
      <c r="O172" s="56" t="s">
        <v>176</v>
      </c>
      <c r="P172" s="18"/>
      <c r="Q172" s="19"/>
      <c r="R172" s="56"/>
      <c r="S172" s="19"/>
      <c r="T172" s="56" t="s">
        <v>84</v>
      </c>
      <c r="U172" s="19"/>
      <c r="V172" s="56"/>
      <c r="W172" s="19"/>
      <c r="X172" s="56"/>
      <c r="Y172" s="19"/>
      <c r="Z172" s="14"/>
    </row>
    <row r="173" ht="15.75" customHeight="1">
      <c r="A173" s="60">
        <v>4.0</v>
      </c>
      <c r="B173" s="61" t="s">
        <v>271</v>
      </c>
      <c r="C173" s="56" t="s">
        <v>272</v>
      </c>
      <c r="D173" s="18"/>
      <c r="E173" s="18"/>
      <c r="F173" s="19"/>
      <c r="G173" s="65" t="s">
        <v>387</v>
      </c>
      <c r="H173" s="18"/>
      <c r="I173" s="18"/>
      <c r="J173" s="19"/>
      <c r="K173" s="67">
        <v>50.0</v>
      </c>
      <c r="L173" s="18"/>
      <c r="M173" s="18"/>
      <c r="N173" s="19"/>
      <c r="O173" s="56" t="s">
        <v>176</v>
      </c>
      <c r="P173" s="18"/>
      <c r="Q173" s="19"/>
      <c r="R173" s="56"/>
      <c r="S173" s="19"/>
      <c r="T173" s="56"/>
      <c r="U173" s="19"/>
      <c r="V173" s="56"/>
      <c r="W173" s="19"/>
      <c r="X173" s="56"/>
      <c r="Y173" s="19"/>
      <c r="Z173" s="14"/>
    </row>
    <row r="174" ht="15.75" customHeight="1">
      <c r="A174" s="60">
        <v>5.0</v>
      </c>
      <c r="B174" s="61" t="s">
        <v>236</v>
      </c>
      <c r="C174" s="56" t="s">
        <v>273</v>
      </c>
      <c r="D174" s="18"/>
      <c r="E174" s="18"/>
      <c r="F174" s="19"/>
      <c r="G174" s="65" t="s">
        <v>380</v>
      </c>
      <c r="H174" s="18"/>
      <c r="I174" s="18"/>
      <c r="J174" s="19"/>
      <c r="K174" s="119"/>
      <c r="L174" s="18"/>
      <c r="M174" s="18"/>
      <c r="N174" s="19"/>
      <c r="O174" s="56" t="s">
        <v>176</v>
      </c>
      <c r="P174" s="18"/>
      <c r="Q174" s="19"/>
      <c r="R174" s="56"/>
      <c r="S174" s="19"/>
      <c r="T174" s="56"/>
      <c r="U174" s="19"/>
      <c r="V174" s="56"/>
      <c r="W174" s="19"/>
      <c r="X174" s="56"/>
      <c r="Y174" s="19"/>
      <c r="Z174" s="14"/>
    </row>
    <row r="175" ht="15.75" customHeight="1">
      <c r="A175" s="60">
        <v>6.0</v>
      </c>
      <c r="B175" s="61" t="s">
        <v>274</v>
      </c>
      <c r="C175" s="56" t="s">
        <v>275</v>
      </c>
      <c r="D175" s="18"/>
      <c r="E175" s="18"/>
      <c r="F175" s="19"/>
      <c r="G175" s="65" t="s">
        <v>412</v>
      </c>
      <c r="H175" s="18"/>
      <c r="I175" s="18"/>
      <c r="J175" s="19"/>
      <c r="K175" s="56"/>
      <c r="L175" s="18"/>
      <c r="M175" s="18"/>
      <c r="N175" s="19"/>
      <c r="O175" s="56" t="s">
        <v>176</v>
      </c>
      <c r="P175" s="18"/>
      <c r="Q175" s="19"/>
      <c r="R175" s="56"/>
      <c r="S175" s="19"/>
      <c r="T175" s="56"/>
      <c r="U175" s="19"/>
      <c r="V175" s="56"/>
      <c r="W175" s="19"/>
      <c r="X175" s="56"/>
      <c r="Y175" s="19"/>
      <c r="Z175" s="14"/>
    </row>
    <row r="176" ht="15.75" customHeight="1">
      <c r="A176" s="60">
        <v>7.0</v>
      </c>
      <c r="B176" s="61" t="s">
        <v>276</v>
      </c>
      <c r="C176" s="56" t="s">
        <v>277</v>
      </c>
      <c r="D176" s="18"/>
      <c r="E176" s="18"/>
      <c r="F176" s="19"/>
      <c r="G176" s="65" t="s">
        <v>412</v>
      </c>
      <c r="H176" s="18"/>
      <c r="I176" s="18"/>
      <c r="J176" s="19"/>
      <c r="K176" s="56"/>
      <c r="L176" s="18"/>
      <c r="M176" s="18"/>
      <c r="N176" s="19"/>
      <c r="O176" s="56" t="s">
        <v>176</v>
      </c>
      <c r="P176" s="18"/>
      <c r="Q176" s="19"/>
      <c r="R176" s="56"/>
      <c r="S176" s="19"/>
      <c r="T176" s="56"/>
      <c r="U176" s="19"/>
      <c r="V176" s="56"/>
      <c r="W176" s="19"/>
      <c r="X176" s="61"/>
      <c r="Y176" s="61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27.75" customHeight="1">
      <c r="A178" s="54">
        <v>21.0</v>
      </c>
      <c r="B178" s="55" t="s">
        <v>2</v>
      </c>
      <c r="C178" s="56" t="str">
        <f>B24</f>
        <v>t_maestra_ubicacion</v>
      </c>
      <c r="D178" s="18"/>
      <c r="E178" s="18"/>
      <c r="F178" s="19"/>
      <c r="G178" s="55" t="s">
        <v>3</v>
      </c>
      <c r="H178" s="18"/>
      <c r="I178" s="18"/>
      <c r="J178" s="19"/>
      <c r="K178" s="39" t="str">
        <f>F24</f>
        <v>Catálogo de espacios físicos y virtuales del campus. Evita que los detalles del lugar (como el bloque o 
el enlace virtual) dependan directamente del evento.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9"/>
      <c r="X178" s="57" t="s">
        <v>70</v>
      </c>
      <c r="Y178" s="114">
        <v>2.0</v>
      </c>
      <c r="Z178" s="51"/>
    </row>
    <row r="179" ht="15.75" customHeight="1">
      <c r="A179" s="59" t="s">
        <v>1</v>
      </c>
      <c r="B179" s="57" t="s">
        <v>71</v>
      </c>
      <c r="C179" s="55" t="s">
        <v>72</v>
      </c>
      <c r="D179" s="18"/>
      <c r="E179" s="18"/>
      <c r="F179" s="19"/>
      <c r="G179" s="55" t="s">
        <v>73</v>
      </c>
      <c r="H179" s="18"/>
      <c r="I179" s="18"/>
      <c r="J179" s="19"/>
      <c r="K179" s="55" t="s">
        <v>74</v>
      </c>
      <c r="L179" s="18"/>
      <c r="M179" s="18"/>
      <c r="N179" s="19"/>
      <c r="O179" s="55" t="s">
        <v>75</v>
      </c>
      <c r="P179" s="18"/>
      <c r="Q179" s="19"/>
      <c r="R179" s="55" t="s">
        <v>76</v>
      </c>
      <c r="S179" s="19"/>
      <c r="T179" s="55" t="s">
        <v>77</v>
      </c>
      <c r="U179" s="19"/>
      <c r="V179" s="55" t="s">
        <v>78</v>
      </c>
      <c r="W179" s="19"/>
      <c r="X179" s="55" t="s">
        <v>79</v>
      </c>
      <c r="Y179" s="19"/>
      <c r="Z179" s="14"/>
    </row>
    <row r="180" ht="15.75" customHeight="1">
      <c r="A180" s="68">
        <v>1.0</v>
      </c>
      <c r="B180" s="61" t="s">
        <v>269</v>
      </c>
      <c r="C180" s="56" t="s">
        <v>279</v>
      </c>
      <c r="D180" s="18"/>
      <c r="E180" s="18"/>
      <c r="F180" s="19"/>
      <c r="G180" s="65" t="s">
        <v>376</v>
      </c>
      <c r="H180" s="18"/>
      <c r="I180" s="18"/>
      <c r="J180" s="19"/>
      <c r="K180" s="56"/>
      <c r="L180" s="18"/>
      <c r="M180" s="18"/>
      <c r="N180" s="19"/>
      <c r="O180" s="56" t="s">
        <v>176</v>
      </c>
      <c r="P180" s="18"/>
      <c r="Q180" s="19"/>
      <c r="R180" s="56" t="s">
        <v>84</v>
      </c>
      <c r="S180" s="19"/>
      <c r="T180" s="56"/>
      <c r="U180" s="19"/>
      <c r="V180" s="56"/>
      <c r="W180" s="19"/>
      <c r="X180" s="56" t="s">
        <v>229</v>
      </c>
      <c r="Y180" s="19"/>
      <c r="Z180" s="14"/>
    </row>
    <row r="181" ht="15.75" customHeight="1">
      <c r="A181" s="68">
        <v>2.0</v>
      </c>
      <c r="B181" s="61" t="s">
        <v>280</v>
      </c>
      <c r="C181" s="56" t="s">
        <v>281</v>
      </c>
      <c r="D181" s="18"/>
      <c r="E181" s="18"/>
      <c r="F181" s="19"/>
      <c r="G181" s="65" t="s">
        <v>387</v>
      </c>
      <c r="H181" s="18"/>
      <c r="I181" s="18"/>
      <c r="J181" s="19"/>
      <c r="K181" s="67">
        <v>50.0</v>
      </c>
      <c r="L181" s="18"/>
      <c r="M181" s="18"/>
      <c r="N181" s="19"/>
      <c r="O181" s="56" t="s">
        <v>176</v>
      </c>
      <c r="P181" s="18"/>
      <c r="Q181" s="19"/>
      <c r="R181" s="56"/>
      <c r="S181" s="19"/>
      <c r="T181" s="56"/>
      <c r="U181" s="19"/>
      <c r="V181" s="56"/>
      <c r="W181" s="19"/>
      <c r="X181" s="56"/>
      <c r="Y181" s="19"/>
      <c r="Z181" s="14"/>
    </row>
    <row r="182" ht="15.75" customHeight="1">
      <c r="A182" s="68">
        <v>3.0</v>
      </c>
      <c r="B182" s="61" t="s">
        <v>282</v>
      </c>
      <c r="C182" s="56" t="s">
        <v>283</v>
      </c>
      <c r="D182" s="18"/>
      <c r="E182" s="18"/>
      <c r="F182" s="19"/>
      <c r="G182" s="65" t="s">
        <v>387</v>
      </c>
      <c r="H182" s="18"/>
      <c r="I182" s="18"/>
      <c r="J182" s="19"/>
      <c r="K182" s="67">
        <v>50.0</v>
      </c>
      <c r="L182" s="18"/>
      <c r="M182" s="18"/>
      <c r="N182" s="19"/>
      <c r="O182" s="56" t="s">
        <v>117</v>
      </c>
      <c r="P182" s="18"/>
      <c r="Q182" s="19"/>
      <c r="R182" s="56"/>
      <c r="S182" s="19"/>
      <c r="T182" s="56"/>
      <c r="U182" s="19"/>
      <c r="V182" s="56"/>
      <c r="W182" s="19"/>
      <c r="X182" s="56"/>
      <c r="Y182" s="19"/>
      <c r="Z182" s="14"/>
    </row>
    <row r="183" ht="15.75" customHeight="1">
      <c r="A183" s="68">
        <v>4.0</v>
      </c>
      <c r="B183" s="61" t="s">
        <v>284</v>
      </c>
      <c r="C183" s="65" t="s">
        <v>418</v>
      </c>
      <c r="D183" s="18"/>
      <c r="E183" s="18"/>
      <c r="F183" s="19"/>
      <c r="G183" s="65" t="s">
        <v>387</v>
      </c>
      <c r="H183" s="18"/>
      <c r="I183" s="18"/>
      <c r="J183" s="19"/>
      <c r="K183" s="119">
        <v>20.0</v>
      </c>
      <c r="L183" s="18"/>
      <c r="M183" s="18"/>
      <c r="N183" s="19"/>
      <c r="O183" s="56" t="s">
        <v>176</v>
      </c>
      <c r="P183" s="18"/>
      <c r="Q183" s="19"/>
      <c r="R183" s="56"/>
      <c r="S183" s="19"/>
      <c r="T183" s="56"/>
      <c r="U183" s="19"/>
      <c r="V183" s="56"/>
      <c r="W183" s="19"/>
      <c r="X183" s="65" t="s">
        <v>419</v>
      </c>
      <c r="Y183" s="19"/>
      <c r="Z183" s="14"/>
    </row>
    <row r="184" ht="15.75" customHeight="1">
      <c r="A184" s="68">
        <v>5.0</v>
      </c>
      <c r="B184" s="61" t="s">
        <v>286</v>
      </c>
      <c r="C184" s="56" t="s">
        <v>287</v>
      </c>
      <c r="D184" s="18"/>
      <c r="E184" s="18"/>
      <c r="F184" s="19"/>
      <c r="G184" s="65" t="s">
        <v>123</v>
      </c>
      <c r="H184" s="18"/>
      <c r="I184" s="18"/>
      <c r="J184" s="19"/>
      <c r="K184" s="56"/>
      <c r="L184" s="18"/>
      <c r="M184" s="18"/>
      <c r="N184" s="19"/>
      <c r="O184" s="56" t="s">
        <v>117</v>
      </c>
      <c r="P184" s="18"/>
      <c r="Q184" s="19"/>
      <c r="R184" s="56"/>
      <c r="S184" s="19"/>
      <c r="T184" s="56"/>
      <c r="U184" s="19"/>
      <c r="V184" s="56"/>
      <c r="W184" s="19"/>
      <c r="X184" s="56"/>
      <c r="Y184" s="19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54">
        <v>22.0</v>
      </c>
      <c r="B186" s="55" t="s">
        <v>2</v>
      </c>
      <c r="C186" s="56" t="str">
        <f>B25</f>
        <v>t_categoria_evento</v>
      </c>
      <c r="D186" s="18"/>
      <c r="E186" s="18"/>
      <c r="F186" s="19"/>
      <c r="G186" s="55" t="s">
        <v>3</v>
      </c>
      <c r="H186" s="18"/>
      <c r="I186" s="18"/>
      <c r="J186" s="19"/>
      <c r="K186" s="39" t="str">
        <f>F25</f>
        <v>permite la clasificación múltiple de un evento. Vincula un evento con una o varias etiquetas temáticas de la tabla maestra.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9"/>
      <c r="X186" s="57" t="s">
        <v>70</v>
      </c>
      <c r="Y186" s="114">
        <v>2.0</v>
      </c>
      <c r="Z186" s="51"/>
    </row>
    <row r="187" ht="15.75" customHeight="1">
      <c r="A187" s="59" t="s">
        <v>1</v>
      </c>
      <c r="B187" s="57" t="s">
        <v>71</v>
      </c>
      <c r="C187" s="55" t="s">
        <v>72</v>
      </c>
      <c r="D187" s="18"/>
      <c r="E187" s="18"/>
      <c r="F187" s="19"/>
      <c r="G187" s="55" t="s">
        <v>73</v>
      </c>
      <c r="H187" s="18"/>
      <c r="I187" s="18"/>
      <c r="J187" s="19"/>
      <c r="K187" s="55" t="s">
        <v>74</v>
      </c>
      <c r="L187" s="18"/>
      <c r="M187" s="18"/>
      <c r="N187" s="19"/>
      <c r="O187" s="55" t="s">
        <v>75</v>
      </c>
      <c r="P187" s="18"/>
      <c r="Q187" s="19"/>
      <c r="R187" s="55" t="s">
        <v>76</v>
      </c>
      <c r="S187" s="19"/>
      <c r="T187" s="55" t="s">
        <v>77</v>
      </c>
      <c r="U187" s="19"/>
      <c r="V187" s="55" t="s">
        <v>78</v>
      </c>
      <c r="W187" s="19"/>
      <c r="X187" s="55" t="s">
        <v>79</v>
      </c>
      <c r="Y187" s="19"/>
      <c r="Z187" s="14"/>
    </row>
    <row r="188" ht="15.75" customHeight="1">
      <c r="A188" s="68">
        <v>1.0</v>
      </c>
      <c r="B188" s="61" t="s">
        <v>288</v>
      </c>
      <c r="C188" s="56" t="s">
        <v>246</v>
      </c>
      <c r="D188" s="18"/>
      <c r="E188" s="18"/>
      <c r="F188" s="19"/>
      <c r="G188" s="65" t="s">
        <v>123</v>
      </c>
      <c r="H188" s="18"/>
      <c r="I188" s="18"/>
      <c r="J188" s="19"/>
      <c r="K188" s="56"/>
      <c r="L188" s="18"/>
      <c r="M188" s="18"/>
      <c r="N188" s="19"/>
      <c r="O188" s="56" t="s">
        <v>83</v>
      </c>
      <c r="P188" s="18"/>
      <c r="Q188" s="19"/>
      <c r="R188" s="56" t="s">
        <v>84</v>
      </c>
      <c r="S188" s="19"/>
      <c r="T188" s="56" t="s">
        <v>84</v>
      </c>
      <c r="U188" s="19"/>
      <c r="V188" s="56"/>
      <c r="W188" s="19"/>
      <c r="X188" s="65" t="s">
        <v>420</v>
      </c>
      <c r="Y188" s="19"/>
      <c r="Z188" s="14"/>
    </row>
    <row r="189" ht="15.75" customHeight="1">
      <c r="A189" s="68">
        <v>2.0</v>
      </c>
      <c r="B189" s="61" t="s">
        <v>265</v>
      </c>
      <c r="C189" s="56" t="s">
        <v>289</v>
      </c>
      <c r="D189" s="18"/>
      <c r="E189" s="18"/>
      <c r="F189" s="19"/>
      <c r="G189" s="65" t="s">
        <v>123</v>
      </c>
      <c r="H189" s="18"/>
      <c r="I189" s="18"/>
      <c r="J189" s="19"/>
      <c r="K189" s="56"/>
      <c r="L189" s="18"/>
      <c r="M189" s="18"/>
      <c r="N189" s="19"/>
      <c r="O189" s="56" t="s">
        <v>83</v>
      </c>
      <c r="P189" s="18"/>
      <c r="Q189" s="19"/>
      <c r="R189" s="56" t="s">
        <v>84</v>
      </c>
      <c r="S189" s="19"/>
      <c r="T189" s="56" t="s">
        <v>84</v>
      </c>
      <c r="U189" s="19"/>
      <c r="V189" s="56"/>
      <c r="W189" s="19"/>
      <c r="X189" s="56"/>
      <c r="Y189" s="19"/>
      <c r="Z189" s="14"/>
    </row>
    <row r="190" ht="15.75" customHeight="1">
      <c r="A190" s="14"/>
      <c r="B190" s="61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30.75" customHeight="1">
      <c r="A191" s="54">
        <v>23.0</v>
      </c>
      <c r="B191" s="55" t="s">
        <v>2</v>
      </c>
      <c r="C191" s="56" t="str">
        <f>B26</f>
        <v>t_maestra_categoria_evento                      </v>
      </c>
      <c r="D191" s="18"/>
      <c r="E191" s="18"/>
      <c r="F191" s="19"/>
      <c r="G191" s="55" t="s">
        <v>3</v>
      </c>
      <c r="H191" s="18"/>
      <c r="I191" s="18"/>
      <c r="J191" s="19"/>
      <c r="K191" s="39" t="s">
        <v>50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9"/>
      <c r="X191" s="57" t="s">
        <v>70</v>
      </c>
      <c r="Y191" s="114">
        <v>2.0</v>
      </c>
      <c r="Z191" s="51"/>
    </row>
    <row r="192" ht="15.75" customHeight="1">
      <c r="A192" s="59" t="s">
        <v>1</v>
      </c>
      <c r="B192" s="57" t="s">
        <v>71</v>
      </c>
      <c r="C192" s="55" t="s">
        <v>72</v>
      </c>
      <c r="D192" s="18"/>
      <c r="E192" s="18"/>
      <c r="F192" s="19"/>
      <c r="G192" s="55" t="s">
        <v>73</v>
      </c>
      <c r="H192" s="18"/>
      <c r="I192" s="18"/>
      <c r="J192" s="19"/>
      <c r="K192" s="55" t="s">
        <v>74</v>
      </c>
      <c r="L192" s="18"/>
      <c r="M192" s="18"/>
      <c r="N192" s="19"/>
      <c r="O192" s="55" t="s">
        <v>75</v>
      </c>
      <c r="P192" s="18"/>
      <c r="Q192" s="19"/>
      <c r="R192" s="55" t="s">
        <v>76</v>
      </c>
      <c r="S192" s="19"/>
      <c r="T192" s="55" t="s">
        <v>77</v>
      </c>
      <c r="U192" s="19"/>
      <c r="V192" s="55" t="s">
        <v>78</v>
      </c>
      <c r="W192" s="19"/>
      <c r="X192" s="55" t="s">
        <v>79</v>
      </c>
      <c r="Y192" s="19"/>
      <c r="Z192" s="14"/>
    </row>
    <row r="193" ht="15.75" customHeight="1">
      <c r="A193" s="68">
        <v>1.0</v>
      </c>
      <c r="B193" s="61" t="s">
        <v>288</v>
      </c>
      <c r="C193" s="56" t="s">
        <v>246</v>
      </c>
      <c r="D193" s="18"/>
      <c r="E193" s="18"/>
      <c r="F193" s="19"/>
      <c r="G193" s="65" t="s">
        <v>376</v>
      </c>
      <c r="H193" s="18"/>
      <c r="I193" s="18"/>
      <c r="J193" s="19"/>
      <c r="K193" s="56"/>
      <c r="L193" s="18"/>
      <c r="M193" s="18"/>
      <c r="N193" s="19"/>
      <c r="O193" s="56" t="s">
        <v>83</v>
      </c>
      <c r="P193" s="18"/>
      <c r="Q193" s="19"/>
      <c r="R193" s="56" t="s">
        <v>84</v>
      </c>
      <c r="S193" s="19"/>
      <c r="T193" s="56"/>
      <c r="U193" s="19"/>
      <c r="V193" s="56"/>
      <c r="W193" s="19"/>
      <c r="X193" s="56"/>
      <c r="Y193" s="19"/>
      <c r="Z193" s="14"/>
    </row>
    <row r="194" ht="15.75" customHeight="1">
      <c r="A194" s="69">
        <v>2.0</v>
      </c>
      <c r="B194" s="63" t="s">
        <v>421</v>
      </c>
      <c r="C194" s="56" t="s">
        <v>291</v>
      </c>
      <c r="D194" s="18"/>
      <c r="E194" s="18"/>
      <c r="F194" s="19"/>
      <c r="G194" s="65" t="s">
        <v>387</v>
      </c>
      <c r="H194" s="18"/>
      <c r="I194" s="18"/>
      <c r="J194" s="19"/>
      <c r="K194" s="119">
        <v>20.0</v>
      </c>
      <c r="L194" s="18"/>
      <c r="M194" s="18"/>
      <c r="N194" s="19"/>
      <c r="O194" s="56" t="s">
        <v>83</v>
      </c>
      <c r="P194" s="18"/>
      <c r="Q194" s="19"/>
      <c r="R194" s="56"/>
      <c r="S194" s="19"/>
      <c r="T194" s="56"/>
      <c r="U194" s="19"/>
      <c r="V194" s="65"/>
      <c r="W194" s="19"/>
      <c r="X194" s="65" t="s">
        <v>422</v>
      </c>
      <c r="Y194" s="19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54">
        <v>24.0</v>
      </c>
      <c r="B196" s="55" t="s">
        <v>2</v>
      </c>
      <c r="C196" s="56" t="str">
        <f>B27</f>
        <v>t_bolsa_empleo</v>
      </c>
      <c r="D196" s="18"/>
      <c r="E196" s="18"/>
      <c r="F196" s="19"/>
      <c r="G196" s="55" t="s">
        <v>3</v>
      </c>
      <c r="H196" s="18"/>
      <c r="I196" s="18"/>
      <c r="J196" s="19"/>
      <c r="K196" s="39" t="str">
        <f>F27</f>
        <v>Repositorio de ofertas laborales			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9"/>
      <c r="X196" s="57" t="s">
        <v>70</v>
      </c>
      <c r="Y196" s="114">
        <v>2.0</v>
      </c>
      <c r="Z196" s="51"/>
    </row>
    <row r="197" ht="15.75" customHeight="1">
      <c r="A197" s="59" t="s">
        <v>1</v>
      </c>
      <c r="B197" s="57" t="s">
        <v>71</v>
      </c>
      <c r="C197" s="55" t="s">
        <v>72</v>
      </c>
      <c r="D197" s="18"/>
      <c r="E197" s="18"/>
      <c r="F197" s="19"/>
      <c r="G197" s="55" t="s">
        <v>73</v>
      </c>
      <c r="H197" s="18"/>
      <c r="I197" s="18"/>
      <c r="J197" s="19"/>
      <c r="K197" s="55" t="s">
        <v>74</v>
      </c>
      <c r="L197" s="18"/>
      <c r="M197" s="18"/>
      <c r="N197" s="19"/>
      <c r="O197" s="55" t="s">
        <v>75</v>
      </c>
      <c r="P197" s="18"/>
      <c r="Q197" s="19"/>
      <c r="R197" s="55" t="s">
        <v>76</v>
      </c>
      <c r="S197" s="19"/>
      <c r="T197" s="55" t="s">
        <v>77</v>
      </c>
      <c r="U197" s="19"/>
      <c r="V197" s="55" t="s">
        <v>78</v>
      </c>
      <c r="W197" s="19"/>
      <c r="X197" s="55" t="s">
        <v>79</v>
      </c>
      <c r="Y197" s="19"/>
      <c r="Z197" s="14"/>
    </row>
    <row r="198" ht="15.75" customHeight="1">
      <c r="A198" s="70">
        <v>1.0</v>
      </c>
      <c r="B198" s="61" t="s">
        <v>292</v>
      </c>
      <c r="C198" s="56" t="s">
        <v>293</v>
      </c>
      <c r="D198" s="18"/>
      <c r="E198" s="18"/>
      <c r="F198" s="19"/>
      <c r="G198" s="65" t="s">
        <v>82</v>
      </c>
      <c r="H198" s="18"/>
      <c r="I198" s="18"/>
      <c r="J198" s="19"/>
      <c r="K198" s="56"/>
      <c r="L198" s="18"/>
      <c r="M198" s="18"/>
      <c r="N198" s="19"/>
      <c r="O198" s="56" t="s">
        <v>83</v>
      </c>
      <c r="P198" s="18"/>
      <c r="Q198" s="19"/>
      <c r="R198" s="56" t="s">
        <v>84</v>
      </c>
      <c r="S198" s="19"/>
      <c r="T198" s="56"/>
      <c r="U198" s="19"/>
      <c r="V198" s="56"/>
      <c r="W198" s="19"/>
      <c r="X198" s="71" t="s">
        <v>294</v>
      </c>
      <c r="Y198" s="30"/>
      <c r="Z198" s="14"/>
    </row>
    <row r="199" ht="15.75" customHeight="1">
      <c r="A199" s="70">
        <v>2.0</v>
      </c>
      <c r="B199" s="63" t="s">
        <v>86</v>
      </c>
      <c r="C199" s="56" t="s">
        <v>296</v>
      </c>
      <c r="D199" s="18"/>
      <c r="E199" s="18"/>
      <c r="F199" s="19"/>
      <c r="G199" s="65" t="s">
        <v>82</v>
      </c>
      <c r="H199" s="18"/>
      <c r="I199" s="18"/>
      <c r="J199" s="19"/>
      <c r="K199" s="56"/>
      <c r="L199" s="18"/>
      <c r="M199" s="18"/>
      <c r="N199" s="19"/>
      <c r="O199" s="56" t="s">
        <v>83</v>
      </c>
      <c r="P199" s="18"/>
      <c r="Q199" s="19"/>
      <c r="R199" s="56"/>
      <c r="S199" s="19"/>
      <c r="T199" s="56" t="s">
        <v>84</v>
      </c>
      <c r="U199" s="19"/>
      <c r="V199" s="56"/>
      <c r="W199" s="19"/>
      <c r="X199" s="71"/>
      <c r="Y199" s="30"/>
      <c r="Z199" s="14"/>
    </row>
    <row r="200" ht="15.75" customHeight="1">
      <c r="A200" s="70">
        <v>3.0</v>
      </c>
      <c r="B200" s="61" t="s">
        <v>297</v>
      </c>
      <c r="C200" s="56" t="s">
        <v>298</v>
      </c>
      <c r="D200" s="18"/>
      <c r="E200" s="18"/>
      <c r="F200" s="19"/>
      <c r="G200" s="65" t="s">
        <v>387</v>
      </c>
      <c r="H200" s="18"/>
      <c r="I200" s="18"/>
      <c r="J200" s="19"/>
      <c r="K200" s="67">
        <v>100.0</v>
      </c>
      <c r="L200" s="18"/>
      <c r="M200" s="18"/>
      <c r="N200" s="19"/>
      <c r="O200" s="56" t="s">
        <v>83</v>
      </c>
      <c r="P200" s="18"/>
      <c r="Q200" s="19"/>
      <c r="R200" s="56"/>
      <c r="S200" s="19"/>
      <c r="T200" s="56"/>
      <c r="U200" s="19"/>
      <c r="V200" s="56"/>
      <c r="W200" s="19"/>
      <c r="X200" s="71"/>
      <c r="Y200" s="30"/>
      <c r="Z200" s="14"/>
    </row>
    <row r="201" ht="15.75" customHeight="1">
      <c r="A201" s="72">
        <v>4.0</v>
      </c>
      <c r="B201" s="61" t="s">
        <v>299</v>
      </c>
      <c r="C201" s="56" t="s">
        <v>300</v>
      </c>
      <c r="D201" s="18"/>
      <c r="E201" s="18"/>
      <c r="F201" s="19"/>
      <c r="G201" s="65" t="s">
        <v>380</v>
      </c>
      <c r="H201" s="18"/>
      <c r="I201" s="18"/>
      <c r="J201" s="19"/>
      <c r="K201" s="56"/>
      <c r="L201" s="18"/>
      <c r="M201" s="18"/>
      <c r="N201" s="19"/>
      <c r="O201" s="56" t="s">
        <v>83</v>
      </c>
      <c r="P201" s="18"/>
      <c r="Q201" s="19"/>
      <c r="R201" s="56"/>
      <c r="S201" s="19"/>
      <c r="T201" s="56"/>
      <c r="U201" s="19"/>
      <c r="V201" s="56"/>
      <c r="W201" s="19"/>
      <c r="X201" s="71"/>
      <c r="Y201" s="30"/>
      <c r="Z201" s="14"/>
    </row>
    <row r="202" ht="15.75" customHeight="1">
      <c r="A202" s="70">
        <v>5.0</v>
      </c>
      <c r="B202" s="61" t="s">
        <v>301</v>
      </c>
      <c r="C202" s="56" t="s">
        <v>302</v>
      </c>
      <c r="D202" s="18"/>
      <c r="E202" s="18"/>
      <c r="F202" s="19"/>
      <c r="G202" s="65" t="s">
        <v>410</v>
      </c>
      <c r="H202" s="18"/>
      <c r="I202" s="18"/>
      <c r="J202" s="19"/>
      <c r="K202" s="120" t="s">
        <v>423</v>
      </c>
      <c r="L202" s="18"/>
      <c r="M202" s="18"/>
      <c r="N202" s="19"/>
      <c r="O202" s="56" t="s">
        <v>117</v>
      </c>
      <c r="P202" s="18"/>
      <c r="Q202" s="19"/>
      <c r="R202" s="56"/>
      <c r="S202" s="19"/>
      <c r="T202" s="56"/>
      <c r="U202" s="19"/>
      <c r="V202" s="56"/>
      <c r="W202" s="19"/>
      <c r="X202" s="71"/>
      <c r="Y202" s="30"/>
      <c r="Z202" s="14"/>
    </row>
    <row r="203" ht="15.75" customHeight="1">
      <c r="A203" s="70">
        <v>6.0</v>
      </c>
      <c r="B203" s="63" t="s">
        <v>424</v>
      </c>
      <c r="C203" s="56" t="s">
        <v>304</v>
      </c>
      <c r="D203" s="18"/>
      <c r="E203" s="18"/>
      <c r="F203" s="19"/>
      <c r="G203" s="65" t="s">
        <v>182</v>
      </c>
      <c r="H203" s="18"/>
      <c r="I203" s="18"/>
      <c r="J203" s="19"/>
      <c r="K203" s="65"/>
      <c r="L203" s="18"/>
      <c r="M203" s="18"/>
      <c r="N203" s="19"/>
      <c r="O203" s="56" t="s">
        <v>83</v>
      </c>
      <c r="P203" s="18"/>
      <c r="Q203" s="19"/>
      <c r="R203" s="56"/>
      <c r="S203" s="19"/>
      <c r="T203" s="56"/>
      <c r="U203" s="19"/>
      <c r="V203" s="56"/>
      <c r="W203" s="19"/>
      <c r="X203" s="71"/>
      <c r="Y203" s="30"/>
      <c r="Z203" s="14"/>
    </row>
    <row r="204" ht="15.75" customHeight="1">
      <c r="A204" s="70">
        <v>7.0</v>
      </c>
      <c r="B204" s="63" t="s">
        <v>425</v>
      </c>
      <c r="C204" s="56" t="s">
        <v>306</v>
      </c>
      <c r="D204" s="18"/>
      <c r="E204" s="18"/>
      <c r="F204" s="19"/>
      <c r="G204" s="65" t="s">
        <v>182</v>
      </c>
      <c r="H204" s="18"/>
      <c r="I204" s="18"/>
      <c r="J204" s="19"/>
      <c r="K204" s="56"/>
      <c r="L204" s="18"/>
      <c r="M204" s="18"/>
      <c r="N204" s="19"/>
      <c r="O204" s="56" t="s">
        <v>83</v>
      </c>
      <c r="P204" s="18"/>
      <c r="Q204" s="19"/>
      <c r="R204" s="56"/>
      <c r="S204" s="19"/>
      <c r="T204" s="56"/>
      <c r="U204" s="19"/>
      <c r="V204" s="56"/>
      <c r="W204" s="19"/>
      <c r="X204" s="71"/>
      <c r="Y204" s="30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54">
        <v>25.0</v>
      </c>
      <c r="B206" s="55" t="s">
        <v>2</v>
      </c>
      <c r="C206" s="56" t="str">
        <f>B28</f>
        <v>t_requerimiento_empleo</v>
      </c>
      <c r="D206" s="18"/>
      <c r="E206" s="18"/>
      <c r="F206" s="19"/>
      <c r="G206" s="55" t="s">
        <v>3</v>
      </c>
      <c r="H206" s="18"/>
      <c r="I206" s="18"/>
      <c r="J206" s="19"/>
      <c r="K206" s="39" t="str">
        <f>F28</f>
        <v>Es el Listado de aptitudes necesarias para una vacante.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9"/>
      <c r="X206" s="57" t="s">
        <v>70</v>
      </c>
      <c r="Y206" s="114">
        <v>2.0</v>
      </c>
      <c r="Z206" s="51"/>
    </row>
    <row r="207" ht="15.75" customHeight="1">
      <c r="A207" s="59" t="s">
        <v>1</v>
      </c>
      <c r="B207" s="57" t="s">
        <v>71</v>
      </c>
      <c r="C207" s="55" t="s">
        <v>72</v>
      </c>
      <c r="D207" s="18"/>
      <c r="E207" s="18"/>
      <c r="F207" s="19"/>
      <c r="G207" s="55" t="s">
        <v>73</v>
      </c>
      <c r="H207" s="18"/>
      <c r="I207" s="18"/>
      <c r="J207" s="19"/>
      <c r="K207" s="55" t="s">
        <v>74</v>
      </c>
      <c r="L207" s="18"/>
      <c r="M207" s="18"/>
      <c r="N207" s="19"/>
      <c r="O207" s="55" t="s">
        <v>75</v>
      </c>
      <c r="P207" s="18"/>
      <c r="Q207" s="19"/>
      <c r="R207" s="55" t="s">
        <v>76</v>
      </c>
      <c r="S207" s="19"/>
      <c r="T207" s="55" t="s">
        <v>77</v>
      </c>
      <c r="U207" s="19"/>
      <c r="V207" s="55" t="s">
        <v>78</v>
      </c>
      <c r="W207" s="19"/>
      <c r="X207" s="55" t="s">
        <v>79</v>
      </c>
      <c r="Y207" s="19"/>
      <c r="Z207" s="14"/>
    </row>
    <row r="208" ht="15.75" customHeight="1">
      <c r="A208" s="68">
        <v>1.0</v>
      </c>
      <c r="B208" s="61" t="s">
        <v>307</v>
      </c>
      <c r="C208" s="56" t="s">
        <v>308</v>
      </c>
      <c r="D208" s="18"/>
      <c r="E208" s="18"/>
      <c r="F208" s="19"/>
      <c r="G208" s="65" t="s">
        <v>376</v>
      </c>
      <c r="H208" s="18"/>
      <c r="I208" s="18"/>
      <c r="J208" s="19"/>
      <c r="K208" s="56"/>
      <c r="L208" s="18"/>
      <c r="M208" s="18"/>
      <c r="N208" s="19"/>
      <c r="O208" s="56" t="s">
        <v>83</v>
      </c>
      <c r="P208" s="18"/>
      <c r="Q208" s="19"/>
      <c r="R208" s="56" t="s">
        <v>84</v>
      </c>
      <c r="S208" s="19"/>
      <c r="T208" s="56"/>
      <c r="U208" s="19"/>
      <c r="V208" s="56"/>
      <c r="W208" s="19"/>
      <c r="X208" s="56" t="s">
        <v>309</v>
      </c>
      <c r="Y208" s="19"/>
      <c r="Z208" s="14"/>
    </row>
    <row r="209" ht="15.75" customHeight="1">
      <c r="A209" s="68">
        <v>2.0</v>
      </c>
      <c r="B209" s="61" t="s">
        <v>292</v>
      </c>
      <c r="C209" s="56" t="s">
        <v>310</v>
      </c>
      <c r="D209" s="18"/>
      <c r="E209" s="18"/>
      <c r="F209" s="19"/>
      <c r="G209" s="65" t="s">
        <v>82</v>
      </c>
      <c r="H209" s="18"/>
      <c r="I209" s="18"/>
      <c r="J209" s="19"/>
      <c r="K209" s="56"/>
      <c r="L209" s="18"/>
      <c r="M209" s="18"/>
      <c r="N209" s="19"/>
      <c r="O209" s="56" t="s">
        <v>83</v>
      </c>
      <c r="P209" s="18"/>
      <c r="Q209" s="19"/>
      <c r="R209" s="56"/>
      <c r="S209" s="19"/>
      <c r="T209" s="56" t="s">
        <v>84</v>
      </c>
      <c r="U209" s="19"/>
      <c r="V209" s="56"/>
      <c r="W209" s="19"/>
      <c r="X209" s="56" t="s">
        <v>311</v>
      </c>
      <c r="Y209" s="19"/>
      <c r="Z209" s="14"/>
    </row>
    <row r="210" ht="15.75" customHeight="1">
      <c r="A210" s="69">
        <v>3.0</v>
      </c>
      <c r="B210" s="61" t="s">
        <v>312</v>
      </c>
      <c r="C210" s="56" t="s">
        <v>313</v>
      </c>
      <c r="D210" s="18"/>
      <c r="E210" s="18"/>
      <c r="F210" s="19"/>
      <c r="G210" s="65" t="s">
        <v>380</v>
      </c>
      <c r="H210" s="18"/>
      <c r="I210" s="18"/>
      <c r="J210" s="19"/>
      <c r="K210" s="67"/>
      <c r="L210" s="18"/>
      <c r="M210" s="18"/>
      <c r="N210" s="19"/>
      <c r="O210" s="56" t="s">
        <v>83</v>
      </c>
      <c r="P210" s="18"/>
      <c r="Q210" s="19"/>
      <c r="R210" s="56"/>
      <c r="S210" s="19"/>
      <c r="T210" s="56"/>
      <c r="U210" s="19"/>
      <c r="V210" s="56"/>
      <c r="W210" s="19"/>
      <c r="X210" s="56"/>
      <c r="Y210" s="19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54">
        <v>26.0</v>
      </c>
      <c r="B212" s="55" t="s">
        <v>2</v>
      </c>
      <c r="C212" s="56" t="str">
        <f>B29</f>
        <v>t_cambalache_store			</v>
      </c>
      <c r="D212" s="18"/>
      <c r="E212" s="18"/>
      <c r="F212" s="19"/>
      <c r="G212" s="55" t="s">
        <v>3</v>
      </c>
      <c r="H212" s="18"/>
      <c r="I212" s="18"/>
      <c r="J212" s="19"/>
      <c r="K212" s="39" t="str">
        <f>F29</f>
        <v>Catálogo de productos			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9"/>
      <c r="X212" s="57" t="s">
        <v>70</v>
      </c>
      <c r="Y212" s="114">
        <v>2.0</v>
      </c>
      <c r="Z212" s="51"/>
    </row>
    <row r="213" ht="15.75" customHeight="1">
      <c r="A213" s="59" t="s">
        <v>1</v>
      </c>
      <c r="B213" s="57" t="s">
        <v>71</v>
      </c>
      <c r="C213" s="55" t="s">
        <v>72</v>
      </c>
      <c r="D213" s="18"/>
      <c r="E213" s="18"/>
      <c r="F213" s="19"/>
      <c r="G213" s="55" t="s">
        <v>73</v>
      </c>
      <c r="H213" s="18"/>
      <c r="I213" s="18"/>
      <c r="J213" s="19"/>
      <c r="K213" s="55" t="s">
        <v>74</v>
      </c>
      <c r="L213" s="18"/>
      <c r="M213" s="18"/>
      <c r="N213" s="19"/>
      <c r="O213" s="55" t="s">
        <v>75</v>
      </c>
      <c r="P213" s="18"/>
      <c r="Q213" s="19"/>
      <c r="R213" s="55" t="s">
        <v>76</v>
      </c>
      <c r="S213" s="19"/>
      <c r="T213" s="55" t="s">
        <v>77</v>
      </c>
      <c r="U213" s="19"/>
      <c r="V213" s="55" t="s">
        <v>78</v>
      </c>
      <c r="W213" s="19"/>
      <c r="X213" s="55" t="s">
        <v>79</v>
      </c>
      <c r="Y213" s="19"/>
      <c r="Z213" s="14"/>
    </row>
    <row r="214" ht="15.75" customHeight="1">
      <c r="A214" s="60">
        <v>1.0</v>
      </c>
      <c r="B214" s="61" t="s">
        <v>314</v>
      </c>
      <c r="C214" s="56" t="s">
        <v>315</v>
      </c>
      <c r="D214" s="18"/>
      <c r="E214" s="18"/>
      <c r="F214" s="19"/>
      <c r="G214" s="65" t="s">
        <v>376</v>
      </c>
      <c r="H214" s="18"/>
      <c r="I214" s="18"/>
      <c r="J214" s="19"/>
      <c r="K214" s="56"/>
      <c r="L214" s="18"/>
      <c r="M214" s="18"/>
      <c r="N214" s="19"/>
      <c r="O214" s="56" t="s">
        <v>83</v>
      </c>
      <c r="P214" s="18"/>
      <c r="Q214" s="19"/>
      <c r="R214" s="56" t="s">
        <v>84</v>
      </c>
      <c r="S214" s="19"/>
      <c r="T214" s="56"/>
      <c r="U214" s="19"/>
      <c r="V214" s="56"/>
      <c r="W214" s="19"/>
      <c r="X214" s="56" t="s">
        <v>229</v>
      </c>
      <c r="Y214" s="19"/>
      <c r="Z214" s="14"/>
    </row>
    <row r="215" ht="15.75" customHeight="1">
      <c r="A215" s="60">
        <v>2.0</v>
      </c>
      <c r="B215" s="61" t="s">
        <v>316</v>
      </c>
      <c r="C215" s="56" t="s">
        <v>317</v>
      </c>
      <c r="D215" s="18"/>
      <c r="E215" s="18"/>
      <c r="F215" s="19"/>
      <c r="G215" s="65" t="s">
        <v>123</v>
      </c>
      <c r="H215" s="18"/>
      <c r="I215" s="18"/>
      <c r="J215" s="19"/>
      <c r="K215" s="56"/>
      <c r="L215" s="18"/>
      <c r="M215" s="18"/>
      <c r="N215" s="19"/>
      <c r="O215" s="56" t="s">
        <v>83</v>
      </c>
      <c r="P215" s="18"/>
      <c r="Q215" s="19"/>
      <c r="R215" s="56"/>
      <c r="S215" s="19"/>
      <c r="T215" s="56" t="s">
        <v>84</v>
      </c>
      <c r="U215" s="19"/>
      <c r="V215" s="56"/>
      <c r="W215" s="19"/>
      <c r="X215" s="56" t="s">
        <v>318</v>
      </c>
      <c r="Y215" s="19"/>
      <c r="Z215" s="14"/>
    </row>
    <row r="216" ht="15.75" customHeight="1">
      <c r="A216" s="60">
        <v>3.0</v>
      </c>
      <c r="B216" s="63" t="s">
        <v>86</v>
      </c>
      <c r="C216" s="56" t="s">
        <v>320</v>
      </c>
      <c r="D216" s="18"/>
      <c r="E216" s="18"/>
      <c r="F216" s="19"/>
      <c r="G216" s="65" t="s">
        <v>82</v>
      </c>
      <c r="H216" s="18"/>
      <c r="I216" s="18"/>
      <c r="J216" s="19"/>
      <c r="K216" s="56"/>
      <c r="L216" s="18"/>
      <c r="M216" s="18"/>
      <c r="N216" s="19"/>
      <c r="O216" s="56" t="s">
        <v>83</v>
      </c>
      <c r="P216" s="18"/>
      <c r="Q216" s="19"/>
      <c r="R216" s="56"/>
      <c r="S216" s="19"/>
      <c r="T216" s="56" t="s">
        <v>84</v>
      </c>
      <c r="U216" s="19"/>
      <c r="V216" s="56"/>
      <c r="W216" s="19"/>
      <c r="X216" s="56" t="s">
        <v>232</v>
      </c>
      <c r="Y216" s="19"/>
      <c r="Z216" s="14"/>
    </row>
    <row r="217" ht="15.75" customHeight="1">
      <c r="A217" s="60">
        <v>4.0</v>
      </c>
      <c r="B217" s="61" t="s">
        <v>321</v>
      </c>
      <c r="C217" s="56" t="s">
        <v>322</v>
      </c>
      <c r="D217" s="18"/>
      <c r="E217" s="18"/>
      <c r="F217" s="19"/>
      <c r="G217" s="65" t="s">
        <v>123</v>
      </c>
      <c r="H217" s="18"/>
      <c r="I217" s="18"/>
      <c r="J217" s="19"/>
      <c r="K217" s="56"/>
      <c r="L217" s="18"/>
      <c r="M217" s="18"/>
      <c r="N217" s="19"/>
      <c r="O217" s="56" t="s">
        <v>83</v>
      </c>
      <c r="P217" s="18"/>
      <c r="Q217" s="19"/>
      <c r="R217" s="56"/>
      <c r="S217" s="19"/>
      <c r="T217" s="56" t="s">
        <v>84</v>
      </c>
      <c r="U217" s="19"/>
      <c r="V217" s="56"/>
      <c r="W217" s="19"/>
      <c r="X217" s="56" t="s">
        <v>323</v>
      </c>
      <c r="Y217" s="19"/>
      <c r="Z217" s="14"/>
    </row>
    <row r="218" ht="15.75" customHeight="1">
      <c r="A218" s="60">
        <v>5.0</v>
      </c>
      <c r="B218" s="61" t="s">
        <v>324</v>
      </c>
      <c r="C218" s="56" t="s">
        <v>325</v>
      </c>
      <c r="D218" s="18"/>
      <c r="E218" s="18"/>
      <c r="F218" s="19"/>
      <c r="G218" s="65" t="s">
        <v>387</v>
      </c>
      <c r="H218" s="18"/>
      <c r="I218" s="18"/>
      <c r="J218" s="19"/>
      <c r="K218" s="119">
        <v>100.0</v>
      </c>
      <c r="L218" s="18"/>
      <c r="M218" s="18"/>
      <c r="N218" s="19"/>
      <c r="O218" s="56" t="s">
        <v>83</v>
      </c>
      <c r="P218" s="18"/>
      <c r="Q218" s="19"/>
      <c r="R218" s="56"/>
      <c r="S218" s="19"/>
      <c r="T218" s="56"/>
      <c r="U218" s="19"/>
      <c r="V218" s="56"/>
      <c r="W218" s="19"/>
      <c r="X218" s="56" t="s">
        <v>326</v>
      </c>
      <c r="Y218" s="19"/>
      <c r="Z218" s="14"/>
    </row>
    <row r="219" ht="15.75" customHeight="1">
      <c r="A219" s="60">
        <v>6.0</v>
      </c>
      <c r="B219" s="61" t="s">
        <v>327</v>
      </c>
      <c r="C219" s="56" t="s">
        <v>328</v>
      </c>
      <c r="D219" s="18"/>
      <c r="E219" s="18"/>
      <c r="F219" s="19"/>
      <c r="G219" s="65" t="s">
        <v>380</v>
      </c>
      <c r="H219" s="18"/>
      <c r="I219" s="18"/>
      <c r="J219" s="19"/>
      <c r="K219" s="56"/>
      <c r="L219" s="18"/>
      <c r="M219" s="18"/>
      <c r="N219" s="19"/>
      <c r="O219" s="56" t="s">
        <v>117</v>
      </c>
      <c r="P219" s="18"/>
      <c r="Q219" s="19"/>
      <c r="R219" s="56"/>
      <c r="S219" s="19"/>
      <c r="T219" s="56"/>
      <c r="U219" s="19"/>
      <c r="V219" s="56"/>
      <c r="W219" s="19"/>
      <c r="X219" s="56" t="s">
        <v>330</v>
      </c>
      <c r="Y219" s="19"/>
      <c r="Z219" s="14"/>
    </row>
    <row r="220" ht="15.75" customHeight="1">
      <c r="A220" s="60">
        <v>7.0</v>
      </c>
      <c r="B220" s="61" t="s">
        <v>331</v>
      </c>
      <c r="C220" s="56" t="s">
        <v>332</v>
      </c>
      <c r="D220" s="18"/>
      <c r="E220" s="18"/>
      <c r="F220" s="19"/>
      <c r="G220" s="65" t="s">
        <v>410</v>
      </c>
      <c r="H220" s="18"/>
      <c r="I220" s="18"/>
      <c r="J220" s="19"/>
      <c r="K220" s="56"/>
      <c r="L220" s="18"/>
      <c r="M220" s="18"/>
      <c r="N220" s="19"/>
      <c r="O220" s="56" t="s">
        <v>83</v>
      </c>
      <c r="P220" s="18"/>
      <c r="Q220" s="19"/>
      <c r="R220" s="56"/>
      <c r="S220" s="19"/>
      <c r="T220" s="56"/>
      <c r="U220" s="19"/>
      <c r="V220" s="56"/>
      <c r="W220" s="19"/>
      <c r="X220" s="56" t="s">
        <v>333</v>
      </c>
      <c r="Y220" s="19"/>
      <c r="Z220" s="14"/>
    </row>
    <row r="221" ht="15.75" customHeight="1">
      <c r="A221" s="60">
        <v>8.0</v>
      </c>
      <c r="B221" s="75" t="s">
        <v>214</v>
      </c>
      <c r="C221" s="39" t="s">
        <v>334</v>
      </c>
      <c r="D221" s="18"/>
      <c r="E221" s="18"/>
      <c r="F221" s="19"/>
      <c r="G221" s="65" t="s">
        <v>182</v>
      </c>
      <c r="H221" s="18"/>
      <c r="I221" s="18"/>
      <c r="J221" s="19"/>
      <c r="K221" s="56"/>
      <c r="L221" s="18"/>
      <c r="M221" s="18"/>
      <c r="N221" s="19"/>
      <c r="O221" s="56" t="s">
        <v>83</v>
      </c>
      <c r="P221" s="18"/>
      <c r="Q221" s="19"/>
      <c r="R221" s="56"/>
      <c r="S221" s="19"/>
      <c r="T221" s="56"/>
      <c r="U221" s="19"/>
      <c r="V221" s="56"/>
      <c r="W221" s="19"/>
      <c r="X221" s="56" t="s">
        <v>335</v>
      </c>
      <c r="Y221" s="19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54">
        <v>27.0</v>
      </c>
      <c r="B224" s="55" t="s">
        <v>327</v>
      </c>
      <c r="C224" s="56" t="str">
        <f>B30</f>
        <v>t_maestra_categoria_producto</v>
      </c>
      <c r="D224" s="18"/>
      <c r="E224" s="18"/>
      <c r="F224" s="19"/>
      <c r="G224" s="55" t="s">
        <v>3</v>
      </c>
      <c r="H224" s="18"/>
      <c r="I224" s="18"/>
      <c r="J224" s="19"/>
      <c r="K224" s="39" t="str">
        <f>F30</f>
        <v>Catálogo de tipos de productos permitidos en el Cambalache Store.
 Esto permite organizar el inventario y facilitar la búsqueda por secciones."                        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9"/>
      <c r="X224" s="57" t="s">
        <v>70</v>
      </c>
      <c r="Y224" s="114">
        <v>2.0</v>
      </c>
      <c r="Z224" s="51"/>
    </row>
    <row r="225" ht="15.75" customHeight="1">
      <c r="A225" s="59" t="s">
        <v>1</v>
      </c>
      <c r="B225" s="57" t="s">
        <v>331</v>
      </c>
      <c r="C225" s="55" t="s">
        <v>72</v>
      </c>
      <c r="D225" s="18"/>
      <c r="E225" s="18"/>
      <c r="F225" s="19"/>
      <c r="G225" s="55" t="s">
        <v>73</v>
      </c>
      <c r="H225" s="18"/>
      <c r="I225" s="18"/>
      <c r="J225" s="19"/>
      <c r="K225" s="55" t="s">
        <v>74</v>
      </c>
      <c r="L225" s="18"/>
      <c r="M225" s="18"/>
      <c r="N225" s="19"/>
      <c r="O225" s="55" t="s">
        <v>75</v>
      </c>
      <c r="P225" s="18"/>
      <c r="Q225" s="19"/>
      <c r="R225" s="55" t="s">
        <v>76</v>
      </c>
      <c r="S225" s="19"/>
      <c r="T225" s="55" t="s">
        <v>77</v>
      </c>
      <c r="U225" s="19"/>
      <c r="V225" s="55" t="s">
        <v>78</v>
      </c>
      <c r="W225" s="19"/>
      <c r="X225" s="55" t="s">
        <v>79</v>
      </c>
      <c r="Y225" s="19"/>
      <c r="Z225" s="14"/>
    </row>
    <row r="226" ht="15.75" customHeight="1">
      <c r="A226" s="60">
        <v>1.0</v>
      </c>
      <c r="B226" s="61" t="s">
        <v>316</v>
      </c>
      <c r="C226" s="56" t="s">
        <v>336</v>
      </c>
      <c r="D226" s="18"/>
      <c r="E226" s="18"/>
      <c r="F226" s="19"/>
      <c r="G226" s="65" t="s">
        <v>376</v>
      </c>
      <c r="H226" s="18"/>
      <c r="I226" s="18"/>
      <c r="J226" s="19"/>
      <c r="K226" s="56"/>
      <c r="L226" s="18"/>
      <c r="M226" s="18"/>
      <c r="N226" s="19"/>
      <c r="O226" s="56" t="s">
        <v>83</v>
      </c>
      <c r="P226" s="18"/>
      <c r="Q226" s="19"/>
      <c r="R226" s="56" t="s">
        <v>84</v>
      </c>
      <c r="S226" s="19"/>
      <c r="T226" s="56"/>
      <c r="U226" s="19"/>
      <c r="V226" s="56"/>
      <c r="W226" s="19"/>
      <c r="X226" s="56"/>
      <c r="Y226" s="19"/>
      <c r="Z226" s="14"/>
    </row>
    <row r="227" ht="15.75" customHeight="1">
      <c r="A227" s="60">
        <v>2.0</v>
      </c>
      <c r="B227" s="63" t="s">
        <v>426</v>
      </c>
      <c r="C227" s="56" t="s">
        <v>337</v>
      </c>
      <c r="D227" s="18"/>
      <c r="E227" s="18"/>
      <c r="F227" s="19"/>
      <c r="G227" s="65" t="s">
        <v>387</v>
      </c>
      <c r="H227" s="18"/>
      <c r="I227" s="18"/>
      <c r="J227" s="19"/>
      <c r="K227" s="119">
        <v>20.0</v>
      </c>
      <c r="L227" s="18"/>
      <c r="M227" s="18"/>
      <c r="N227" s="19"/>
      <c r="O227" s="56" t="s">
        <v>83</v>
      </c>
      <c r="P227" s="18"/>
      <c r="Q227" s="19"/>
      <c r="R227" s="56"/>
      <c r="S227" s="19"/>
      <c r="T227" s="56"/>
      <c r="U227" s="19"/>
      <c r="V227" s="56"/>
      <c r="W227" s="19"/>
      <c r="X227" s="65" t="s">
        <v>427</v>
      </c>
      <c r="Y227" s="19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54">
        <v>28.0</v>
      </c>
      <c r="B229" s="55" t="s">
        <v>2</v>
      </c>
      <c r="C229" s="56" t="str">
        <f>B31</f>
        <v>t_maestra_estado_producto</v>
      </c>
      <c r="D229" s="18"/>
      <c r="E229" s="18"/>
      <c r="F229" s="19"/>
      <c r="G229" s="55" t="s">
        <v>3</v>
      </c>
      <c r="H229" s="18"/>
      <c r="I229" s="18"/>
      <c r="J229" s="19"/>
      <c r="K229" s="39" t="str">
        <f>F31</f>
        <v>Define la disponibilidad de los artículos en el mercado interno. Permite el control automatizado de la visibilidad de los anuncios.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9"/>
      <c r="X229" s="57" t="s">
        <v>70</v>
      </c>
      <c r="Y229" s="114">
        <v>2.0</v>
      </c>
      <c r="Z229" s="51"/>
    </row>
    <row r="230" ht="15.75" customHeight="1">
      <c r="A230" s="59" t="s">
        <v>1</v>
      </c>
      <c r="B230" s="57" t="s">
        <v>71</v>
      </c>
      <c r="C230" s="55" t="s">
        <v>72</v>
      </c>
      <c r="D230" s="18"/>
      <c r="E230" s="18"/>
      <c r="F230" s="19"/>
      <c r="G230" s="55" t="s">
        <v>73</v>
      </c>
      <c r="H230" s="18"/>
      <c r="I230" s="18"/>
      <c r="J230" s="19"/>
      <c r="K230" s="55" t="s">
        <v>74</v>
      </c>
      <c r="L230" s="18"/>
      <c r="M230" s="18"/>
      <c r="N230" s="19"/>
      <c r="O230" s="55" t="s">
        <v>75</v>
      </c>
      <c r="P230" s="18"/>
      <c r="Q230" s="19"/>
      <c r="R230" s="55" t="s">
        <v>76</v>
      </c>
      <c r="S230" s="19"/>
      <c r="T230" s="55" t="s">
        <v>77</v>
      </c>
      <c r="U230" s="19"/>
      <c r="V230" s="55" t="s">
        <v>78</v>
      </c>
      <c r="W230" s="19"/>
      <c r="X230" s="55" t="s">
        <v>79</v>
      </c>
      <c r="Y230" s="19"/>
      <c r="Z230" s="14"/>
    </row>
    <row r="231" ht="15.75" customHeight="1">
      <c r="A231" s="60">
        <v>1.0</v>
      </c>
      <c r="B231" s="61" t="s">
        <v>321</v>
      </c>
      <c r="C231" s="56" t="s">
        <v>338</v>
      </c>
      <c r="D231" s="18"/>
      <c r="E231" s="18"/>
      <c r="F231" s="19"/>
      <c r="G231" s="65" t="s">
        <v>376</v>
      </c>
      <c r="H231" s="18"/>
      <c r="I231" s="18"/>
      <c r="J231" s="19"/>
      <c r="K231" s="56"/>
      <c r="L231" s="18"/>
      <c r="M231" s="18"/>
      <c r="N231" s="19"/>
      <c r="O231" s="56" t="s">
        <v>83</v>
      </c>
      <c r="P231" s="18"/>
      <c r="Q231" s="19"/>
      <c r="R231" s="56" t="s">
        <v>84</v>
      </c>
      <c r="S231" s="19"/>
      <c r="T231" s="56"/>
      <c r="U231" s="19"/>
      <c r="V231" s="56"/>
      <c r="W231" s="19"/>
      <c r="X231" s="56"/>
      <c r="Y231" s="19"/>
      <c r="Z231" s="14"/>
    </row>
    <row r="232" ht="15.75" customHeight="1">
      <c r="A232" s="60">
        <v>2.0</v>
      </c>
      <c r="B232" s="61" t="s">
        <v>218</v>
      </c>
      <c r="C232" s="56" t="s">
        <v>339</v>
      </c>
      <c r="D232" s="18"/>
      <c r="E232" s="18"/>
      <c r="F232" s="19"/>
      <c r="G232" s="65" t="s">
        <v>387</v>
      </c>
      <c r="H232" s="18"/>
      <c r="I232" s="18"/>
      <c r="J232" s="19"/>
      <c r="K232" s="119">
        <v>20.0</v>
      </c>
      <c r="L232" s="18"/>
      <c r="M232" s="18"/>
      <c r="N232" s="19"/>
      <c r="O232" s="56" t="s">
        <v>83</v>
      </c>
      <c r="P232" s="18"/>
      <c r="Q232" s="19"/>
      <c r="R232" s="56"/>
      <c r="S232" s="19"/>
      <c r="T232" s="56"/>
      <c r="U232" s="19"/>
      <c r="V232" s="56"/>
      <c r="W232" s="19"/>
      <c r="X232" s="65" t="s">
        <v>428</v>
      </c>
      <c r="Y232" s="19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54">
        <v>29.0</v>
      </c>
      <c r="B234" s="55" t="s">
        <v>2</v>
      </c>
      <c r="C234" s="56" t="str">
        <f>B32</f>
        <v>t_mensajeria</v>
      </c>
      <c r="D234" s="18"/>
      <c r="E234" s="18"/>
      <c r="F234" s="19"/>
      <c r="G234" s="55" t="s">
        <v>3</v>
      </c>
      <c r="H234" s="18"/>
      <c r="I234" s="18"/>
      <c r="J234" s="19"/>
      <c r="K234" s="39" t="str">
        <f>F32</f>
        <v>Registros de mensajes privados entre usuarios.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9"/>
      <c r="X234" s="57" t="s">
        <v>70</v>
      </c>
      <c r="Y234" s="114">
        <v>2.0</v>
      </c>
      <c r="Z234" s="51"/>
    </row>
    <row r="235" ht="15.75" customHeight="1">
      <c r="A235" s="59" t="s">
        <v>1</v>
      </c>
      <c r="B235" s="57" t="s">
        <v>71</v>
      </c>
      <c r="C235" s="55" t="s">
        <v>72</v>
      </c>
      <c r="D235" s="18"/>
      <c r="E235" s="18"/>
      <c r="F235" s="19"/>
      <c r="G235" s="121" t="s">
        <v>429</v>
      </c>
      <c r="H235" s="18"/>
      <c r="I235" s="18"/>
      <c r="J235" s="19"/>
      <c r="K235" s="55" t="s">
        <v>74</v>
      </c>
      <c r="L235" s="18"/>
      <c r="M235" s="18"/>
      <c r="N235" s="19"/>
      <c r="O235" s="55" t="s">
        <v>75</v>
      </c>
      <c r="P235" s="18"/>
      <c r="Q235" s="19"/>
      <c r="R235" s="55" t="s">
        <v>76</v>
      </c>
      <c r="S235" s="19"/>
      <c r="T235" s="55" t="s">
        <v>77</v>
      </c>
      <c r="U235" s="19"/>
      <c r="V235" s="55" t="s">
        <v>78</v>
      </c>
      <c r="W235" s="19"/>
      <c r="X235" s="55" t="s">
        <v>79</v>
      </c>
      <c r="Y235" s="19"/>
      <c r="Z235" s="14"/>
    </row>
    <row r="236" ht="15.75" customHeight="1">
      <c r="A236" s="60">
        <v>1.0</v>
      </c>
      <c r="B236" s="61" t="s">
        <v>340</v>
      </c>
      <c r="C236" s="56" t="s">
        <v>341</v>
      </c>
      <c r="D236" s="18"/>
      <c r="E236" s="18"/>
      <c r="F236" s="19"/>
      <c r="G236" s="65" t="s">
        <v>82</v>
      </c>
      <c r="H236" s="18"/>
      <c r="I236" s="18"/>
      <c r="J236" s="19"/>
      <c r="K236" s="56"/>
      <c r="L236" s="18"/>
      <c r="M236" s="18"/>
      <c r="N236" s="19"/>
      <c r="O236" s="56" t="s">
        <v>83</v>
      </c>
      <c r="P236" s="18"/>
      <c r="Q236" s="19"/>
      <c r="R236" s="56" t="s">
        <v>84</v>
      </c>
      <c r="S236" s="19"/>
      <c r="T236" s="56"/>
      <c r="U236" s="19"/>
      <c r="V236" s="56"/>
      <c r="W236" s="19"/>
      <c r="X236" s="56"/>
      <c r="Y236" s="19"/>
      <c r="Z236" s="14"/>
    </row>
    <row r="237" ht="15.75" customHeight="1">
      <c r="A237" s="60">
        <v>2.0</v>
      </c>
      <c r="B237" s="61" t="s">
        <v>342</v>
      </c>
      <c r="C237" s="56" t="s">
        <v>343</v>
      </c>
      <c r="D237" s="18"/>
      <c r="E237" s="18"/>
      <c r="F237" s="19"/>
      <c r="G237" s="65" t="s">
        <v>82</v>
      </c>
      <c r="H237" s="18"/>
      <c r="I237" s="18"/>
      <c r="J237" s="19"/>
      <c r="K237" s="56"/>
      <c r="L237" s="18"/>
      <c r="M237" s="18"/>
      <c r="N237" s="19"/>
      <c r="O237" s="56" t="s">
        <v>83</v>
      </c>
      <c r="P237" s="18"/>
      <c r="Q237" s="19"/>
      <c r="R237" s="56"/>
      <c r="S237" s="19"/>
      <c r="T237" s="56" t="s">
        <v>84</v>
      </c>
      <c r="U237" s="19"/>
      <c r="V237" s="56"/>
      <c r="W237" s="19"/>
      <c r="X237" s="56"/>
      <c r="Y237" s="19"/>
      <c r="Z237" s="14"/>
    </row>
    <row r="238" ht="15.75" customHeight="1">
      <c r="A238" s="60">
        <v>3.0</v>
      </c>
      <c r="B238" s="61" t="s">
        <v>344</v>
      </c>
      <c r="C238" s="56" t="s">
        <v>345</v>
      </c>
      <c r="D238" s="18"/>
      <c r="E238" s="18"/>
      <c r="F238" s="19"/>
      <c r="G238" s="65" t="s">
        <v>82</v>
      </c>
      <c r="H238" s="18"/>
      <c r="I238" s="18"/>
      <c r="J238" s="19"/>
      <c r="K238" s="56"/>
      <c r="L238" s="18"/>
      <c r="M238" s="18"/>
      <c r="N238" s="19"/>
      <c r="O238" s="56" t="s">
        <v>83</v>
      </c>
      <c r="P238" s="18"/>
      <c r="Q238" s="19"/>
      <c r="R238" s="56"/>
      <c r="S238" s="19"/>
      <c r="T238" s="56" t="s">
        <v>84</v>
      </c>
      <c r="U238" s="19"/>
      <c r="V238" s="56"/>
      <c r="W238" s="19"/>
      <c r="X238" s="56"/>
      <c r="Y238" s="19"/>
      <c r="Z238" s="14"/>
    </row>
    <row r="239" ht="15.75" customHeight="1">
      <c r="A239" s="60">
        <v>4.0</v>
      </c>
      <c r="B239" s="61" t="s">
        <v>346</v>
      </c>
      <c r="C239" s="56" t="s">
        <v>347</v>
      </c>
      <c r="D239" s="18"/>
      <c r="E239" s="18"/>
      <c r="F239" s="19"/>
      <c r="G239" s="65" t="s">
        <v>123</v>
      </c>
      <c r="H239" s="18"/>
      <c r="I239" s="18"/>
      <c r="J239" s="19"/>
      <c r="K239" s="56"/>
      <c r="L239" s="18"/>
      <c r="M239" s="18"/>
      <c r="N239" s="19"/>
      <c r="O239" s="56" t="s">
        <v>83</v>
      </c>
      <c r="P239" s="18"/>
      <c r="Q239" s="19"/>
      <c r="R239" s="56"/>
      <c r="S239" s="19"/>
      <c r="T239" s="56" t="s">
        <v>84</v>
      </c>
      <c r="U239" s="19"/>
      <c r="V239" s="56"/>
      <c r="W239" s="19"/>
      <c r="X239" s="56"/>
      <c r="Y239" s="19"/>
      <c r="Z239" s="14"/>
    </row>
    <row r="240" ht="15.75" customHeight="1">
      <c r="A240" s="60">
        <v>5.0</v>
      </c>
      <c r="B240" s="61" t="s">
        <v>210</v>
      </c>
      <c r="C240" s="65" t="s">
        <v>430</v>
      </c>
      <c r="D240" s="18"/>
      <c r="E240" s="18"/>
      <c r="F240" s="19"/>
      <c r="G240" s="65" t="s">
        <v>387</v>
      </c>
      <c r="H240" s="18"/>
      <c r="I240" s="18"/>
      <c r="J240" s="19"/>
      <c r="K240" s="65">
        <v>1000.0</v>
      </c>
      <c r="L240" s="18"/>
      <c r="M240" s="18"/>
      <c r="N240" s="19"/>
      <c r="O240" s="56" t="s">
        <v>83</v>
      </c>
      <c r="P240" s="18"/>
      <c r="Q240" s="19"/>
      <c r="R240" s="56"/>
      <c r="S240" s="19"/>
      <c r="T240" s="56"/>
      <c r="U240" s="19"/>
      <c r="V240" s="56"/>
      <c r="W240" s="19"/>
      <c r="X240" s="56"/>
      <c r="Y240" s="19"/>
      <c r="Z240" s="14"/>
    </row>
    <row r="241" ht="15.75" customHeight="1">
      <c r="A241" s="60">
        <v>6.0</v>
      </c>
      <c r="B241" s="61" t="s">
        <v>348</v>
      </c>
      <c r="C241" s="56" t="s">
        <v>349</v>
      </c>
      <c r="D241" s="18"/>
      <c r="E241" s="18"/>
      <c r="F241" s="19"/>
      <c r="G241" s="65" t="s">
        <v>412</v>
      </c>
      <c r="H241" s="18"/>
      <c r="I241" s="18"/>
      <c r="J241" s="19"/>
      <c r="K241" s="56"/>
      <c r="L241" s="18"/>
      <c r="M241" s="18"/>
      <c r="N241" s="19"/>
      <c r="O241" s="56" t="s">
        <v>83</v>
      </c>
      <c r="P241" s="18"/>
      <c r="Q241" s="19"/>
      <c r="R241" s="56"/>
      <c r="S241" s="19"/>
      <c r="T241" s="56"/>
      <c r="U241" s="19"/>
      <c r="V241" s="56"/>
      <c r="W241" s="19"/>
      <c r="X241" s="56"/>
      <c r="Y241" s="19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29.25" customHeight="1">
      <c r="A243" s="54">
        <v>30.0</v>
      </c>
      <c r="B243" s="55" t="s">
        <v>2</v>
      </c>
      <c r="C243" s="56" t="str">
        <f>B33</f>
        <v>t_maestra_estado_msj</v>
      </c>
      <c r="D243" s="18"/>
      <c r="E243" s="18"/>
      <c r="F243" s="19"/>
      <c r="G243" s="55" t="s">
        <v>3</v>
      </c>
      <c r="H243" s="18"/>
      <c r="I243" s="18"/>
      <c r="J243" s="19"/>
      <c r="K243" s="39" t="str">
        <f>F33</f>
        <v>Centraliza los posibles estados de un mensaje privado. Esto permite
que el sistema gestione la confirmación de lectura y entrega mediante IDs únicos, facilitando futuras métricas o cambios en las reglas de visualización.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9"/>
      <c r="X243" s="57" t="s">
        <v>70</v>
      </c>
      <c r="Y243" s="114">
        <v>2.0</v>
      </c>
      <c r="Z243" s="51"/>
    </row>
    <row r="244" ht="15.75" customHeight="1">
      <c r="A244" s="59" t="s">
        <v>1</v>
      </c>
      <c r="B244" s="57" t="s">
        <v>71</v>
      </c>
      <c r="C244" s="55" t="s">
        <v>72</v>
      </c>
      <c r="D244" s="18"/>
      <c r="E244" s="18"/>
      <c r="F244" s="19"/>
      <c r="G244" s="55" t="s">
        <v>73</v>
      </c>
      <c r="H244" s="18"/>
      <c r="I244" s="18"/>
      <c r="J244" s="19"/>
      <c r="K244" s="55" t="s">
        <v>74</v>
      </c>
      <c r="L244" s="18"/>
      <c r="M244" s="18"/>
      <c r="N244" s="19"/>
      <c r="O244" s="55" t="s">
        <v>75</v>
      </c>
      <c r="P244" s="18"/>
      <c r="Q244" s="19"/>
      <c r="R244" s="55" t="s">
        <v>76</v>
      </c>
      <c r="S244" s="19"/>
      <c r="T244" s="55" t="s">
        <v>77</v>
      </c>
      <c r="U244" s="19"/>
      <c r="V244" s="55" t="s">
        <v>78</v>
      </c>
      <c r="W244" s="19"/>
      <c r="X244" s="55" t="s">
        <v>79</v>
      </c>
      <c r="Y244" s="19"/>
      <c r="Z244" s="14"/>
    </row>
    <row r="245" ht="15.75" customHeight="1">
      <c r="A245" s="60">
        <v>1.0</v>
      </c>
      <c r="B245" s="61" t="s">
        <v>346</v>
      </c>
      <c r="C245" s="56" t="s">
        <v>338</v>
      </c>
      <c r="D245" s="18"/>
      <c r="E245" s="18"/>
      <c r="F245" s="19"/>
      <c r="G245" s="65" t="s">
        <v>376</v>
      </c>
      <c r="H245" s="18"/>
      <c r="I245" s="18"/>
      <c r="J245" s="19"/>
      <c r="K245" s="56"/>
      <c r="L245" s="18"/>
      <c r="M245" s="18"/>
      <c r="N245" s="19"/>
      <c r="O245" s="56" t="s">
        <v>83</v>
      </c>
      <c r="P245" s="18"/>
      <c r="Q245" s="19"/>
      <c r="R245" s="56" t="s">
        <v>84</v>
      </c>
      <c r="S245" s="19"/>
      <c r="T245" s="56"/>
      <c r="U245" s="19"/>
      <c r="V245" s="56"/>
      <c r="W245" s="19"/>
      <c r="X245" s="56"/>
      <c r="Y245" s="19"/>
      <c r="Z245" s="14"/>
    </row>
    <row r="246" ht="15.75" customHeight="1">
      <c r="A246" s="60">
        <v>2.0</v>
      </c>
      <c r="B246" s="61" t="s">
        <v>218</v>
      </c>
      <c r="C246" s="56" t="s">
        <v>350</v>
      </c>
      <c r="D246" s="18"/>
      <c r="E246" s="18"/>
      <c r="F246" s="19"/>
      <c r="G246" s="65" t="s">
        <v>387</v>
      </c>
      <c r="H246" s="18"/>
      <c r="I246" s="18"/>
      <c r="J246" s="19"/>
      <c r="K246" s="119">
        <v>20.0</v>
      </c>
      <c r="L246" s="18"/>
      <c r="M246" s="18"/>
      <c r="N246" s="19"/>
      <c r="O246" s="56" t="s">
        <v>83</v>
      </c>
      <c r="P246" s="18"/>
      <c r="Q246" s="19"/>
      <c r="R246" s="56"/>
      <c r="S246" s="19"/>
      <c r="T246" s="56"/>
      <c r="U246" s="19"/>
      <c r="V246" s="56"/>
      <c r="W246" s="19"/>
      <c r="X246" s="65" t="s">
        <v>431</v>
      </c>
      <c r="Y246" s="19"/>
      <c r="Z246" s="14"/>
    </row>
    <row r="247" ht="15.75" customHeight="1">
      <c r="A247" s="60">
        <v>3.0</v>
      </c>
      <c r="B247" s="61" t="s">
        <v>351</v>
      </c>
      <c r="C247" s="56" t="s">
        <v>352</v>
      </c>
      <c r="D247" s="18"/>
      <c r="E247" s="18"/>
      <c r="F247" s="19"/>
      <c r="G247" s="65" t="s">
        <v>387</v>
      </c>
      <c r="H247" s="18"/>
      <c r="I247" s="18"/>
      <c r="J247" s="19"/>
      <c r="K247" s="119">
        <v>50.0</v>
      </c>
      <c r="L247" s="18"/>
      <c r="M247" s="18"/>
      <c r="N247" s="19"/>
      <c r="O247" s="56" t="s">
        <v>117</v>
      </c>
      <c r="P247" s="18"/>
      <c r="Q247" s="19"/>
      <c r="R247" s="56"/>
      <c r="S247" s="19"/>
      <c r="T247" s="56"/>
      <c r="U247" s="19"/>
      <c r="V247" s="56"/>
      <c r="W247" s="19"/>
      <c r="X247" s="65" t="s">
        <v>432</v>
      </c>
      <c r="Y247" s="19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54">
        <v>31.0</v>
      </c>
      <c r="B249" s="55" t="s">
        <v>2</v>
      </c>
      <c r="C249" s="56" t="str">
        <f>B34</f>
        <v>t_usuario_evento</v>
      </c>
      <c r="D249" s="18"/>
      <c r="E249" s="18"/>
      <c r="F249" s="19"/>
      <c r="G249" s="55" t="s">
        <v>3</v>
      </c>
      <c r="H249" s="18"/>
      <c r="I249" s="18"/>
      <c r="J249" s="19"/>
      <c r="K249" s="39" t="str">
        <f>F34</f>
        <v>Gestiona la inscripción y confirmación de asistencia de los usuarios a los eventos institucionales.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9"/>
      <c r="X249" s="57" t="s">
        <v>70</v>
      </c>
      <c r="Y249" s="114">
        <v>2.0</v>
      </c>
      <c r="Z249" s="51"/>
    </row>
    <row r="250" ht="15.75" customHeight="1">
      <c r="A250" s="59" t="s">
        <v>1</v>
      </c>
      <c r="B250" s="57" t="s">
        <v>71</v>
      </c>
      <c r="C250" s="55" t="s">
        <v>72</v>
      </c>
      <c r="D250" s="18"/>
      <c r="E250" s="18"/>
      <c r="F250" s="19"/>
      <c r="G250" s="55" t="s">
        <v>73</v>
      </c>
      <c r="H250" s="18"/>
      <c r="I250" s="18"/>
      <c r="J250" s="19"/>
      <c r="K250" s="55" t="s">
        <v>74</v>
      </c>
      <c r="L250" s="18"/>
      <c r="M250" s="18"/>
      <c r="N250" s="19"/>
      <c r="O250" s="55" t="s">
        <v>75</v>
      </c>
      <c r="P250" s="18"/>
      <c r="Q250" s="19"/>
      <c r="R250" s="55" t="s">
        <v>76</v>
      </c>
      <c r="S250" s="19"/>
      <c r="T250" s="55" t="s">
        <v>77</v>
      </c>
      <c r="U250" s="19"/>
      <c r="V250" s="55" t="s">
        <v>78</v>
      </c>
      <c r="W250" s="19"/>
      <c r="X250" s="55" t="s">
        <v>79</v>
      </c>
      <c r="Y250" s="19"/>
      <c r="Z250" s="14"/>
    </row>
    <row r="251" ht="15.75" customHeight="1">
      <c r="A251" s="60">
        <v>1.0</v>
      </c>
      <c r="B251" s="61" t="s">
        <v>86</v>
      </c>
      <c r="C251" s="56" t="s">
        <v>353</v>
      </c>
      <c r="D251" s="18"/>
      <c r="E251" s="18"/>
      <c r="F251" s="19"/>
      <c r="G251" s="65" t="s">
        <v>82</v>
      </c>
      <c r="H251" s="18"/>
      <c r="I251" s="18"/>
      <c r="J251" s="19"/>
      <c r="K251" s="56"/>
      <c r="L251" s="18"/>
      <c r="M251" s="18"/>
      <c r="N251" s="19"/>
      <c r="O251" s="56" t="s">
        <v>83</v>
      </c>
      <c r="P251" s="18"/>
      <c r="Q251" s="19"/>
      <c r="R251" s="56" t="s">
        <v>84</v>
      </c>
      <c r="S251" s="19"/>
      <c r="T251" s="56" t="s">
        <v>84</v>
      </c>
      <c r="U251" s="19"/>
      <c r="V251" s="56"/>
      <c r="W251" s="19"/>
      <c r="X251" s="56" t="s">
        <v>173</v>
      </c>
      <c r="Y251" s="19"/>
      <c r="Z251" s="14"/>
    </row>
    <row r="252" ht="15.75" customHeight="1">
      <c r="A252" s="60">
        <v>2.0</v>
      </c>
      <c r="B252" s="61" t="s">
        <v>265</v>
      </c>
      <c r="C252" s="56" t="s">
        <v>354</v>
      </c>
      <c r="D252" s="18"/>
      <c r="E252" s="18"/>
      <c r="F252" s="19"/>
      <c r="G252" s="65" t="s">
        <v>123</v>
      </c>
      <c r="H252" s="18"/>
      <c r="I252" s="18"/>
      <c r="J252" s="19"/>
      <c r="K252" s="56"/>
      <c r="L252" s="18"/>
      <c r="M252" s="18"/>
      <c r="N252" s="19"/>
      <c r="O252" s="56" t="s">
        <v>83</v>
      </c>
      <c r="P252" s="18"/>
      <c r="Q252" s="19"/>
      <c r="R252" s="56" t="s">
        <v>84</v>
      </c>
      <c r="S252" s="19"/>
      <c r="T252" s="56" t="s">
        <v>84</v>
      </c>
      <c r="U252" s="19"/>
      <c r="V252" s="56"/>
      <c r="W252" s="19"/>
      <c r="X252" s="56" t="s">
        <v>173</v>
      </c>
      <c r="Y252" s="19"/>
      <c r="Z252" s="14"/>
    </row>
    <row r="253" ht="15.75" customHeight="1">
      <c r="A253" s="60">
        <v>3.0</v>
      </c>
      <c r="B253" s="61" t="s">
        <v>355</v>
      </c>
      <c r="C253" s="56" t="s">
        <v>356</v>
      </c>
      <c r="D253" s="18"/>
      <c r="E253" s="18"/>
      <c r="F253" s="19"/>
      <c r="G253" s="65" t="s">
        <v>412</v>
      </c>
      <c r="H253" s="18"/>
      <c r="I253" s="18"/>
      <c r="J253" s="19"/>
      <c r="K253" s="56"/>
      <c r="L253" s="18"/>
      <c r="M253" s="18"/>
      <c r="N253" s="19"/>
      <c r="O253" s="56" t="s">
        <v>83</v>
      </c>
      <c r="P253" s="18"/>
      <c r="Q253" s="19"/>
      <c r="R253" s="56"/>
      <c r="S253" s="19"/>
      <c r="T253" s="56"/>
      <c r="U253" s="19"/>
      <c r="V253" s="56"/>
      <c r="W253" s="19"/>
      <c r="X253" s="56" t="s">
        <v>357</v>
      </c>
      <c r="Y253" s="19"/>
      <c r="Z253" s="14"/>
    </row>
    <row r="254" ht="15.75" customHeight="1">
      <c r="A254" s="60">
        <v>4.0</v>
      </c>
      <c r="B254" s="61" t="s">
        <v>358</v>
      </c>
      <c r="C254" s="56" t="s">
        <v>359</v>
      </c>
      <c r="D254" s="18"/>
      <c r="E254" s="18"/>
      <c r="F254" s="19"/>
      <c r="G254" s="65" t="s">
        <v>387</v>
      </c>
      <c r="H254" s="18"/>
      <c r="I254" s="18"/>
      <c r="J254" s="19"/>
      <c r="K254" s="65">
        <v>20.0</v>
      </c>
      <c r="L254" s="18"/>
      <c r="M254" s="18"/>
      <c r="N254" s="19"/>
      <c r="O254" s="56" t="s">
        <v>83</v>
      </c>
      <c r="P254" s="18"/>
      <c r="Q254" s="19"/>
      <c r="R254" s="56"/>
      <c r="S254" s="19"/>
      <c r="T254" s="56"/>
      <c r="U254" s="19"/>
      <c r="V254" s="56"/>
      <c r="W254" s="19"/>
      <c r="X254" s="65" t="s">
        <v>433</v>
      </c>
      <c r="Y254" s="19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54">
        <v>32.0</v>
      </c>
      <c r="B256" s="55" t="s">
        <v>2</v>
      </c>
      <c r="C256" s="56" t="str">
        <f>B35</f>
        <v>t_usuario_usuario</v>
      </c>
      <c r="D256" s="18"/>
      <c r="E256" s="18"/>
      <c r="F256" s="19"/>
      <c r="G256" s="55" t="s">
        <v>3</v>
      </c>
      <c r="H256" s="18"/>
      <c r="I256" s="18"/>
      <c r="J256" s="19"/>
      <c r="K256" s="39" t="str">
        <f>F35</f>
        <v>Gestiona el seguimiento y las conexiones entre perfiles de la red.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9"/>
      <c r="X256" s="57" t="s">
        <v>70</v>
      </c>
      <c r="Y256" s="114">
        <v>2.0</v>
      </c>
      <c r="Z256" s="51"/>
    </row>
    <row r="257" ht="15.75" customHeight="1">
      <c r="A257" s="59" t="s">
        <v>1</v>
      </c>
      <c r="B257" s="57" t="s">
        <v>71</v>
      </c>
      <c r="C257" s="55" t="s">
        <v>72</v>
      </c>
      <c r="D257" s="18"/>
      <c r="E257" s="18"/>
      <c r="F257" s="19"/>
      <c r="G257" s="55" t="s">
        <v>73</v>
      </c>
      <c r="H257" s="18"/>
      <c r="I257" s="18"/>
      <c r="J257" s="19"/>
      <c r="K257" s="55" t="s">
        <v>74</v>
      </c>
      <c r="L257" s="18"/>
      <c r="M257" s="18"/>
      <c r="N257" s="19"/>
      <c r="O257" s="55" t="s">
        <v>75</v>
      </c>
      <c r="P257" s="18"/>
      <c r="Q257" s="19"/>
      <c r="R257" s="55" t="s">
        <v>76</v>
      </c>
      <c r="S257" s="19"/>
      <c r="T257" s="55" t="s">
        <v>77</v>
      </c>
      <c r="U257" s="19"/>
      <c r="V257" s="55" t="s">
        <v>78</v>
      </c>
      <c r="W257" s="19"/>
      <c r="X257" s="55" t="s">
        <v>79</v>
      </c>
      <c r="Y257" s="19"/>
      <c r="Z257" s="14"/>
    </row>
    <row r="258" ht="15.75" customHeight="1">
      <c r="A258" s="60">
        <v>1.0</v>
      </c>
      <c r="B258" s="61" t="s">
        <v>362</v>
      </c>
      <c r="C258" s="56" t="s">
        <v>363</v>
      </c>
      <c r="D258" s="18"/>
      <c r="E258" s="18"/>
      <c r="F258" s="19"/>
      <c r="G258" s="65" t="s">
        <v>82</v>
      </c>
      <c r="H258" s="18"/>
      <c r="I258" s="18"/>
      <c r="J258" s="19"/>
      <c r="K258" s="56"/>
      <c r="L258" s="18"/>
      <c r="M258" s="18"/>
      <c r="N258" s="19"/>
      <c r="O258" s="56" t="s">
        <v>83</v>
      </c>
      <c r="P258" s="18"/>
      <c r="Q258" s="19"/>
      <c r="R258" s="56" t="s">
        <v>84</v>
      </c>
      <c r="S258" s="19"/>
      <c r="T258" s="56" t="s">
        <v>84</v>
      </c>
      <c r="U258" s="19"/>
      <c r="V258" s="56"/>
      <c r="W258" s="19"/>
      <c r="X258" s="56" t="s">
        <v>173</v>
      </c>
      <c r="Y258" s="19"/>
      <c r="Z258" s="14"/>
    </row>
    <row r="259" ht="15.75" customHeight="1">
      <c r="A259" s="60">
        <v>2.0</v>
      </c>
      <c r="B259" s="61" t="s">
        <v>365</v>
      </c>
      <c r="C259" s="56" t="s">
        <v>366</v>
      </c>
      <c r="D259" s="18"/>
      <c r="E259" s="18"/>
      <c r="F259" s="19"/>
      <c r="G259" s="65" t="s">
        <v>82</v>
      </c>
      <c r="H259" s="18"/>
      <c r="I259" s="18"/>
      <c r="J259" s="19"/>
      <c r="K259" s="56"/>
      <c r="L259" s="18"/>
      <c r="M259" s="18"/>
      <c r="N259" s="19"/>
      <c r="O259" s="56" t="s">
        <v>83</v>
      </c>
      <c r="P259" s="18"/>
      <c r="Q259" s="19"/>
      <c r="R259" s="56" t="s">
        <v>84</v>
      </c>
      <c r="S259" s="19"/>
      <c r="T259" s="56" t="s">
        <v>84</v>
      </c>
      <c r="U259" s="19"/>
      <c r="V259" s="56"/>
      <c r="W259" s="19"/>
      <c r="X259" s="56" t="s">
        <v>173</v>
      </c>
      <c r="Y259" s="19"/>
      <c r="Z259" s="14"/>
    </row>
    <row r="260" ht="15.75" customHeight="1">
      <c r="A260" s="60">
        <v>3.0</v>
      </c>
      <c r="B260" s="61" t="s">
        <v>367</v>
      </c>
      <c r="C260" s="56" t="s">
        <v>368</v>
      </c>
      <c r="D260" s="18"/>
      <c r="E260" s="18"/>
      <c r="F260" s="19"/>
      <c r="G260" s="122" t="s">
        <v>387</v>
      </c>
      <c r="H260" s="18"/>
      <c r="I260" s="18"/>
      <c r="J260" s="19"/>
      <c r="K260" s="65">
        <v>20.0</v>
      </c>
      <c r="L260" s="18"/>
      <c r="M260" s="18"/>
      <c r="N260" s="19"/>
      <c r="O260" s="56" t="s">
        <v>83</v>
      </c>
      <c r="P260" s="18"/>
      <c r="Q260" s="19"/>
      <c r="R260" s="56"/>
      <c r="S260" s="19"/>
      <c r="T260" s="56"/>
      <c r="U260" s="19"/>
      <c r="V260" s="56"/>
      <c r="W260" s="19"/>
      <c r="X260" s="56" t="s">
        <v>369</v>
      </c>
      <c r="Y260" s="19"/>
      <c r="Z260" s="14"/>
    </row>
    <row r="261" ht="15.75" customHeight="1">
      <c r="A261" s="60">
        <v>4.0</v>
      </c>
      <c r="B261" s="61" t="s">
        <v>370</v>
      </c>
      <c r="C261" s="56" t="s">
        <v>371</v>
      </c>
      <c r="D261" s="18"/>
      <c r="E261" s="18"/>
      <c r="F261" s="19"/>
      <c r="G261" s="122" t="s">
        <v>412</v>
      </c>
      <c r="H261" s="18"/>
      <c r="I261" s="18"/>
      <c r="J261" s="19"/>
      <c r="K261" s="56"/>
      <c r="L261" s="18"/>
      <c r="M261" s="18"/>
      <c r="N261" s="19"/>
      <c r="O261" s="56" t="s">
        <v>83</v>
      </c>
      <c r="P261" s="18"/>
      <c r="Q261" s="19"/>
      <c r="R261" s="56"/>
      <c r="S261" s="19"/>
      <c r="T261" s="56"/>
      <c r="U261" s="19"/>
      <c r="V261" s="56"/>
      <c r="W261" s="19"/>
      <c r="X261" s="56" t="s">
        <v>372</v>
      </c>
      <c r="Y261" s="19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452">
    <mergeCell ref="G51:J51"/>
    <mergeCell ref="K52:N52"/>
    <mergeCell ref="O52:Q52"/>
    <mergeCell ref="R52:S52"/>
    <mergeCell ref="T52:U52"/>
    <mergeCell ref="V52:W52"/>
    <mergeCell ref="X52:Y52"/>
    <mergeCell ref="K54:W54"/>
    <mergeCell ref="G52:J52"/>
    <mergeCell ref="G54:J54"/>
    <mergeCell ref="G55:J55"/>
    <mergeCell ref="K55:N55"/>
    <mergeCell ref="O55:Q55"/>
    <mergeCell ref="R55:S55"/>
    <mergeCell ref="T55:U55"/>
    <mergeCell ref="F26:W26"/>
    <mergeCell ref="X26:Y26"/>
    <mergeCell ref="F27:W27"/>
    <mergeCell ref="X27:Y27"/>
    <mergeCell ref="F28:W28"/>
    <mergeCell ref="X28:Y28"/>
    <mergeCell ref="X29:Y29"/>
    <mergeCell ref="F29:W29"/>
    <mergeCell ref="F30:W30"/>
    <mergeCell ref="X30:Y30"/>
    <mergeCell ref="F31:W31"/>
    <mergeCell ref="X31:Y31"/>
    <mergeCell ref="F32:W32"/>
    <mergeCell ref="X32:Y32"/>
    <mergeCell ref="F33:W33"/>
    <mergeCell ref="X33:Y33"/>
    <mergeCell ref="F34:W34"/>
    <mergeCell ref="X34:Y34"/>
    <mergeCell ref="F35:W35"/>
    <mergeCell ref="X35:Y35"/>
    <mergeCell ref="F36:W36"/>
    <mergeCell ref="R41:S41"/>
    <mergeCell ref="T41:U41"/>
    <mergeCell ref="V41:W41"/>
    <mergeCell ref="X41:Y41"/>
    <mergeCell ref="F37:W37"/>
    <mergeCell ref="A38:Y38"/>
    <mergeCell ref="G40:J40"/>
    <mergeCell ref="K40:W40"/>
    <mergeCell ref="G41:J41"/>
    <mergeCell ref="K41:N41"/>
    <mergeCell ref="O41:Q41"/>
    <mergeCell ref="V55:W55"/>
    <mergeCell ref="X55:Y55"/>
    <mergeCell ref="G60:J60"/>
    <mergeCell ref="K60:W60"/>
    <mergeCell ref="G61:J61"/>
    <mergeCell ref="K61:N61"/>
    <mergeCell ref="O61:Q61"/>
    <mergeCell ref="R61:S61"/>
    <mergeCell ref="T61:U61"/>
    <mergeCell ref="G62:J62"/>
    <mergeCell ref="K62:N62"/>
    <mergeCell ref="O62:Q62"/>
    <mergeCell ref="R62:S62"/>
    <mergeCell ref="T62:U62"/>
    <mergeCell ref="V62:W62"/>
    <mergeCell ref="X62:Y62"/>
    <mergeCell ref="G49:J49"/>
    <mergeCell ref="K50:N50"/>
    <mergeCell ref="O50:Q50"/>
    <mergeCell ref="R50:S50"/>
    <mergeCell ref="T50:U50"/>
    <mergeCell ref="V50:W50"/>
    <mergeCell ref="X50:Y50"/>
    <mergeCell ref="G50:J50"/>
    <mergeCell ref="K51:N51"/>
    <mergeCell ref="O51:Q51"/>
    <mergeCell ref="R51:S51"/>
    <mergeCell ref="T51:U51"/>
    <mergeCell ref="V51:W51"/>
    <mergeCell ref="X51:Y51"/>
    <mergeCell ref="G56:J56"/>
    <mergeCell ref="K56:N56"/>
    <mergeCell ref="O56:Q56"/>
    <mergeCell ref="R56:S56"/>
    <mergeCell ref="T56:U56"/>
    <mergeCell ref="V56:W56"/>
    <mergeCell ref="X56:Y56"/>
    <mergeCell ref="G57:J57"/>
    <mergeCell ref="K57:N57"/>
    <mergeCell ref="O57:Q57"/>
    <mergeCell ref="R57:S57"/>
    <mergeCell ref="T57:U57"/>
    <mergeCell ref="V57:W57"/>
    <mergeCell ref="X57:Y57"/>
    <mergeCell ref="G58:J58"/>
    <mergeCell ref="K58:N58"/>
    <mergeCell ref="O58:Q58"/>
    <mergeCell ref="R58:S58"/>
    <mergeCell ref="T58:U58"/>
    <mergeCell ref="V58:W58"/>
    <mergeCell ref="X58:Y58"/>
    <mergeCell ref="V61:W61"/>
    <mergeCell ref="X61:Y61"/>
    <mergeCell ref="G65:J65"/>
    <mergeCell ref="K65:N65"/>
    <mergeCell ref="O65:Q65"/>
    <mergeCell ref="R65:S65"/>
    <mergeCell ref="T65:U65"/>
    <mergeCell ref="V65:W65"/>
    <mergeCell ref="X65:Y65"/>
    <mergeCell ref="G73:J73"/>
    <mergeCell ref="K73:N73"/>
    <mergeCell ref="O73:Q73"/>
    <mergeCell ref="R73:S73"/>
    <mergeCell ref="T73:U73"/>
    <mergeCell ref="V73:W73"/>
    <mergeCell ref="X73:Y73"/>
    <mergeCell ref="G74:J74"/>
    <mergeCell ref="K74:N74"/>
    <mergeCell ref="O74:Q74"/>
    <mergeCell ref="R74:S74"/>
    <mergeCell ref="T74:U74"/>
    <mergeCell ref="V74:W74"/>
    <mergeCell ref="X74:Y74"/>
    <mergeCell ref="G63:J63"/>
    <mergeCell ref="K63:N63"/>
    <mergeCell ref="O63:Q63"/>
    <mergeCell ref="R63:S63"/>
    <mergeCell ref="T63:U63"/>
    <mergeCell ref="V63:W63"/>
    <mergeCell ref="X63:Y63"/>
    <mergeCell ref="G64:J64"/>
    <mergeCell ref="K64:N64"/>
    <mergeCell ref="O64:Q64"/>
    <mergeCell ref="R64:S64"/>
    <mergeCell ref="T64:U64"/>
    <mergeCell ref="V64:W64"/>
    <mergeCell ref="X64:Y64"/>
    <mergeCell ref="G66:J66"/>
    <mergeCell ref="K66:N66"/>
    <mergeCell ref="O66:Q66"/>
    <mergeCell ref="R66:S66"/>
    <mergeCell ref="T66:U66"/>
    <mergeCell ref="V66:W66"/>
    <mergeCell ref="X66:Y66"/>
    <mergeCell ref="V69:W69"/>
    <mergeCell ref="X69:Y69"/>
    <mergeCell ref="G68:J68"/>
    <mergeCell ref="K68:W68"/>
    <mergeCell ref="G69:J69"/>
    <mergeCell ref="K69:N69"/>
    <mergeCell ref="O69:Q69"/>
    <mergeCell ref="R69:S69"/>
    <mergeCell ref="T69:U69"/>
    <mergeCell ref="G70:J70"/>
    <mergeCell ref="K70:N70"/>
    <mergeCell ref="O70:Q70"/>
    <mergeCell ref="R70:S70"/>
    <mergeCell ref="T70:U70"/>
    <mergeCell ref="V70:W70"/>
    <mergeCell ref="X70:Y70"/>
    <mergeCell ref="G75:J75"/>
    <mergeCell ref="K75:N75"/>
    <mergeCell ref="O75:Q75"/>
    <mergeCell ref="R75:S75"/>
    <mergeCell ref="T75:U75"/>
    <mergeCell ref="V75:W75"/>
    <mergeCell ref="X75:Y75"/>
    <mergeCell ref="V85:W85"/>
    <mergeCell ref="X85:Y85"/>
    <mergeCell ref="G84:J84"/>
    <mergeCell ref="K84:W84"/>
    <mergeCell ref="G85:J85"/>
    <mergeCell ref="K85:N85"/>
    <mergeCell ref="O85:Q85"/>
    <mergeCell ref="R85:S85"/>
    <mergeCell ref="T85:U85"/>
    <mergeCell ref="G71:J71"/>
    <mergeCell ref="K71:N71"/>
    <mergeCell ref="O71:Q71"/>
    <mergeCell ref="R71:S71"/>
    <mergeCell ref="T71:U71"/>
    <mergeCell ref="V71:W71"/>
    <mergeCell ref="X71:Y71"/>
    <mergeCell ref="G72:J72"/>
    <mergeCell ref="K72:N72"/>
    <mergeCell ref="O72:Q72"/>
    <mergeCell ref="R72:S72"/>
    <mergeCell ref="T72:U72"/>
    <mergeCell ref="V72:W72"/>
    <mergeCell ref="X72:Y72"/>
    <mergeCell ref="V78:W78"/>
    <mergeCell ref="X78:Y78"/>
    <mergeCell ref="G77:J77"/>
    <mergeCell ref="K77:W77"/>
    <mergeCell ref="G78:J78"/>
    <mergeCell ref="K78:N78"/>
    <mergeCell ref="O78:Q78"/>
    <mergeCell ref="R78:S78"/>
    <mergeCell ref="T78:U78"/>
    <mergeCell ref="G79:J79"/>
    <mergeCell ref="K79:N79"/>
    <mergeCell ref="O79:Q79"/>
    <mergeCell ref="R79:S79"/>
    <mergeCell ref="T79:U79"/>
    <mergeCell ref="V79:W79"/>
    <mergeCell ref="X79:Y79"/>
    <mergeCell ref="G80:J80"/>
    <mergeCell ref="K80:N80"/>
    <mergeCell ref="O80:Q80"/>
    <mergeCell ref="R80:S80"/>
    <mergeCell ref="T80:U80"/>
    <mergeCell ref="V80:W80"/>
    <mergeCell ref="X80:Y80"/>
    <mergeCell ref="G86:J86"/>
    <mergeCell ref="K86:N86"/>
    <mergeCell ref="O86:Q86"/>
    <mergeCell ref="R86:S86"/>
    <mergeCell ref="T86:U86"/>
    <mergeCell ref="V86:W86"/>
    <mergeCell ref="X86:Y86"/>
    <mergeCell ref="V94:W94"/>
    <mergeCell ref="X94:Y94"/>
    <mergeCell ref="G93:J93"/>
    <mergeCell ref="K93:W93"/>
    <mergeCell ref="G94:J94"/>
    <mergeCell ref="K94:N94"/>
    <mergeCell ref="O94:Q94"/>
    <mergeCell ref="R94:S94"/>
    <mergeCell ref="T94:U94"/>
    <mergeCell ref="G81:J81"/>
    <mergeCell ref="K81:N81"/>
    <mergeCell ref="O81:Q81"/>
    <mergeCell ref="R81:S81"/>
    <mergeCell ref="T81:U81"/>
    <mergeCell ref="V81:W81"/>
    <mergeCell ref="X81:Y81"/>
    <mergeCell ref="G82:J82"/>
    <mergeCell ref="K82:N82"/>
    <mergeCell ref="O82:Q82"/>
    <mergeCell ref="R82:S82"/>
    <mergeCell ref="T82:U82"/>
    <mergeCell ref="V82:W82"/>
    <mergeCell ref="X82:Y82"/>
    <mergeCell ref="G87:J87"/>
    <mergeCell ref="K87:N87"/>
    <mergeCell ref="O87:Q87"/>
    <mergeCell ref="R87:S87"/>
    <mergeCell ref="T87:U87"/>
    <mergeCell ref="V87:W87"/>
    <mergeCell ref="X87:Y87"/>
    <mergeCell ref="G88:J88"/>
    <mergeCell ref="K88:N88"/>
    <mergeCell ref="O88:Q88"/>
    <mergeCell ref="R88:S88"/>
    <mergeCell ref="T88:U88"/>
    <mergeCell ref="V88:W88"/>
    <mergeCell ref="X88:Y88"/>
    <mergeCell ref="G89:J89"/>
    <mergeCell ref="K89:N89"/>
    <mergeCell ref="O89:Q89"/>
    <mergeCell ref="R89:S89"/>
    <mergeCell ref="T89:U89"/>
    <mergeCell ref="V89:W89"/>
    <mergeCell ref="X89:Y89"/>
    <mergeCell ref="G90:J90"/>
    <mergeCell ref="K90:N90"/>
    <mergeCell ref="O90:Q90"/>
    <mergeCell ref="R90:S90"/>
    <mergeCell ref="T90:U90"/>
    <mergeCell ref="V90:W90"/>
    <mergeCell ref="X90:Y90"/>
    <mergeCell ref="G91:J91"/>
    <mergeCell ref="K91:N91"/>
    <mergeCell ref="O91:Q91"/>
    <mergeCell ref="R91:S91"/>
    <mergeCell ref="T91:U91"/>
    <mergeCell ref="V91:W91"/>
    <mergeCell ref="X91:Y91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F22:W22"/>
    <mergeCell ref="F23:W23"/>
    <mergeCell ref="X23:Y23"/>
    <mergeCell ref="F24:W24"/>
    <mergeCell ref="X24:Y24"/>
    <mergeCell ref="F25:W25"/>
    <mergeCell ref="X25:Y25"/>
    <mergeCell ref="G42:J42"/>
    <mergeCell ref="K42:N42"/>
    <mergeCell ref="O42:Q42"/>
    <mergeCell ref="R42:S42"/>
    <mergeCell ref="T42:U42"/>
    <mergeCell ref="V42:W42"/>
    <mergeCell ref="X42:Y42"/>
    <mergeCell ref="G43:J43"/>
    <mergeCell ref="K43:N43"/>
    <mergeCell ref="O43:Q43"/>
    <mergeCell ref="R43:S43"/>
    <mergeCell ref="T43:U43"/>
    <mergeCell ref="V43:W43"/>
    <mergeCell ref="X43:Y43"/>
    <mergeCell ref="G44:J44"/>
    <mergeCell ref="K44:N44"/>
    <mergeCell ref="O44:Q44"/>
    <mergeCell ref="R44:S44"/>
    <mergeCell ref="T44:U44"/>
    <mergeCell ref="V44:W44"/>
    <mergeCell ref="X44:Y44"/>
    <mergeCell ref="G45:J45"/>
    <mergeCell ref="K45:N45"/>
    <mergeCell ref="O45:Q45"/>
    <mergeCell ref="R45:S45"/>
    <mergeCell ref="T45:U45"/>
    <mergeCell ref="V45:W45"/>
    <mergeCell ref="X45:Y45"/>
    <mergeCell ref="G46:J46"/>
    <mergeCell ref="K46:N46"/>
    <mergeCell ref="O46:Q46"/>
    <mergeCell ref="R46:S46"/>
    <mergeCell ref="T46:U46"/>
    <mergeCell ref="X46:Y46"/>
    <mergeCell ref="K48:W48"/>
    <mergeCell ref="G48:J48"/>
    <mergeCell ref="K49:N49"/>
    <mergeCell ref="O49:Q49"/>
    <mergeCell ref="R49:S49"/>
    <mergeCell ref="T49:U49"/>
    <mergeCell ref="V49:W49"/>
    <mergeCell ref="X49:Y49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C40:F40"/>
    <mergeCell ref="C41:F41"/>
    <mergeCell ref="C48:F48"/>
    <mergeCell ref="C49:F49"/>
    <mergeCell ref="C50:F50"/>
    <mergeCell ref="C51:F51"/>
    <mergeCell ref="C52:F52"/>
    <mergeCell ref="C54:F54"/>
    <mergeCell ref="C55:F55"/>
    <mergeCell ref="C56:F56"/>
    <mergeCell ref="C57:F57"/>
    <mergeCell ref="C58:F58"/>
    <mergeCell ref="C60:F60"/>
    <mergeCell ref="C61:F61"/>
    <mergeCell ref="C62:F62"/>
    <mergeCell ref="C63:F63"/>
    <mergeCell ref="C64:F64"/>
    <mergeCell ref="C65:F65"/>
    <mergeCell ref="C66:F66"/>
    <mergeCell ref="C68:F68"/>
    <mergeCell ref="C69:F69"/>
    <mergeCell ref="C70:F70"/>
    <mergeCell ref="C71:F71"/>
    <mergeCell ref="C72:F72"/>
    <mergeCell ref="C73:F73"/>
    <mergeCell ref="C74:F74"/>
    <mergeCell ref="C75:F75"/>
    <mergeCell ref="C77:F77"/>
    <mergeCell ref="C78:F78"/>
    <mergeCell ref="C79:F79"/>
    <mergeCell ref="C80:F80"/>
    <mergeCell ref="R106:S106"/>
    <mergeCell ref="T106:U106"/>
    <mergeCell ref="C105:F105"/>
    <mergeCell ref="G105:J105"/>
    <mergeCell ref="K105:W105"/>
    <mergeCell ref="C106:F106"/>
    <mergeCell ref="G106:J106"/>
    <mergeCell ref="K106:N106"/>
    <mergeCell ref="O106:Q106"/>
    <mergeCell ref="C81:F81"/>
    <mergeCell ref="C82:F82"/>
    <mergeCell ref="C84:F84"/>
    <mergeCell ref="C85:F85"/>
    <mergeCell ref="C86:F86"/>
    <mergeCell ref="C87:F87"/>
    <mergeCell ref="C88:F88"/>
    <mergeCell ref="K95:N95"/>
    <mergeCell ref="O95:Q95"/>
    <mergeCell ref="R95:S95"/>
    <mergeCell ref="T95:U95"/>
    <mergeCell ref="V95:W95"/>
    <mergeCell ref="C96:F96"/>
    <mergeCell ref="G96:J96"/>
    <mergeCell ref="K96:N96"/>
    <mergeCell ref="O96:Q96"/>
    <mergeCell ref="R96:S96"/>
    <mergeCell ref="T96:U96"/>
    <mergeCell ref="V96:W96"/>
    <mergeCell ref="C98:F98"/>
    <mergeCell ref="G98:J98"/>
    <mergeCell ref="K98:N98"/>
    <mergeCell ref="O98:Q98"/>
    <mergeCell ref="R98:S98"/>
    <mergeCell ref="T98:U98"/>
    <mergeCell ref="V98:W98"/>
    <mergeCell ref="X98:Y98"/>
    <mergeCell ref="C97:F97"/>
    <mergeCell ref="G97:J97"/>
    <mergeCell ref="K97:N97"/>
    <mergeCell ref="O97:Q97"/>
    <mergeCell ref="R97:S97"/>
    <mergeCell ref="T97:U97"/>
    <mergeCell ref="V97:W97"/>
    <mergeCell ref="C89:F89"/>
    <mergeCell ref="C90:F90"/>
    <mergeCell ref="C91:F91"/>
    <mergeCell ref="C93:F93"/>
    <mergeCell ref="C94:F94"/>
    <mergeCell ref="C95:F95"/>
    <mergeCell ref="G95:J95"/>
    <mergeCell ref="V101:W101"/>
    <mergeCell ref="X101:Y101"/>
    <mergeCell ref="G107:J107"/>
    <mergeCell ref="K107:N107"/>
    <mergeCell ref="O107:Q107"/>
    <mergeCell ref="R107:S107"/>
    <mergeCell ref="T107:U107"/>
    <mergeCell ref="V107:W107"/>
    <mergeCell ref="X107:Y107"/>
    <mergeCell ref="C107:F107"/>
    <mergeCell ref="C108:F108"/>
    <mergeCell ref="G108:J108"/>
    <mergeCell ref="K108:N108"/>
    <mergeCell ref="O108:Q108"/>
    <mergeCell ref="R108:S108"/>
    <mergeCell ref="T108:U108"/>
    <mergeCell ref="T109:U109"/>
    <mergeCell ref="V109:W109"/>
    <mergeCell ref="V108:W108"/>
    <mergeCell ref="X108:Y108"/>
    <mergeCell ref="G109:J109"/>
    <mergeCell ref="K109:N109"/>
    <mergeCell ref="O109:Q109"/>
    <mergeCell ref="R109:S109"/>
    <mergeCell ref="X109:Y109"/>
    <mergeCell ref="R117:S117"/>
    <mergeCell ref="T117:U117"/>
    <mergeCell ref="C116:F116"/>
    <mergeCell ref="G116:J116"/>
    <mergeCell ref="K116:W116"/>
    <mergeCell ref="C117:F117"/>
    <mergeCell ref="G117:J117"/>
    <mergeCell ref="K117:N117"/>
    <mergeCell ref="O117:Q117"/>
    <mergeCell ref="G118:J118"/>
    <mergeCell ref="K118:N118"/>
    <mergeCell ref="O118:Q118"/>
    <mergeCell ref="R118:S118"/>
    <mergeCell ref="T118:U118"/>
    <mergeCell ref="V118:W118"/>
    <mergeCell ref="X118:Y118"/>
    <mergeCell ref="C118:F118"/>
    <mergeCell ref="C119:F119"/>
    <mergeCell ref="G119:J119"/>
    <mergeCell ref="K119:N119"/>
    <mergeCell ref="O119:Q119"/>
    <mergeCell ref="R119:S119"/>
    <mergeCell ref="T119:U119"/>
    <mergeCell ref="T120:U120"/>
    <mergeCell ref="V120:W120"/>
    <mergeCell ref="V119:W119"/>
    <mergeCell ref="X119:Y119"/>
    <mergeCell ref="G120:J120"/>
    <mergeCell ref="K120:N120"/>
    <mergeCell ref="O120:Q120"/>
    <mergeCell ref="R120:S120"/>
    <mergeCell ref="X120:Y120"/>
    <mergeCell ref="V121:W121"/>
    <mergeCell ref="X121:Y121"/>
    <mergeCell ref="C120:F120"/>
    <mergeCell ref="C121:F121"/>
    <mergeCell ref="G121:J121"/>
    <mergeCell ref="K121:N121"/>
    <mergeCell ref="O121:Q121"/>
    <mergeCell ref="R121:S121"/>
    <mergeCell ref="T121:U121"/>
    <mergeCell ref="K213:N213"/>
    <mergeCell ref="O213:Q213"/>
    <mergeCell ref="V213:W213"/>
    <mergeCell ref="X213:Y213"/>
    <mergeCell ref="V210:W210"/>
    <mergeCell ref="X210:Y210"/>
    <mergeCell ref="C212:F212"/>
    <mergeCell ref="G212:J212"/>
    <mergeCell ref="K212:W212"/>
    <mergeCell ref="C213:F213"/>
    <mergeCell ref="G213:J213"/>
    <mergeCell ref="R179:S179"/>
    <mergeCell ref="T179:U179"/>
    <mergeCell ref="C178:F178"/>
    <mergeCell ref="G178:J178"/>
    <mergeCell ref="K178:W178"/>
    <mergeCell ref="C179:F179"/>
    <mergeCell ref="G179:J179"/>
    <mergeCell ref="K179:N179"/>
    <mergeCell ref="O179:Q179"/>
    <mergeCell ref="G180:J180"/>
    <mergeCell ref="K180:N180"/>
    <mergeCell ref="O180:Q180"/>
    <mergeCell ref="R180:S180"/>
    <mergeCell ref="T180:U180"/>
    <mergeCell ref="V180:W180"/>
    <mergeCell ref="X180:Y180"/>
    <mergeCell ref="V181:W181"/>
    <mergeCell ref="X181:Y181"/>
    <mergeCell ref="C180:F180"/>
    <mergeCell ref="C181:F181"/>
    <mergeCell ref="G181:J181"/>
    <mergeCell ref="K181:N181"/>
    <mergeCell ref="O181:Q181"/>
    <mergeCell ref="R181:S181"/>
    <mergeCell ref="T181:U181"/>
    <mergeCell ref="V183:W183"/>
    <mergeCell ref="X183:Y183"/>
    <mergeCell ref="V220:W220"/>
    <mergeCell ref="X220:Y220"/>
    <mergeCell ref="K207:N207"/>
    <mergeCell ref="O207:Q207"/>
    <mergeCell ref="V207:W207"/>
    <mergeCell ref="X207:Y207"/>
    <mergeCell ref="V204:W204"/>
    <mergeCell ref="X204:Y204"/>
    <mergeCell ref="C206:F206"/>
    <mergeCell ref="G206:J206"/>
    <mergeCell ref="K206:W206"/>
    <mergeCell ref="C207:F207"/>
    <mergeCell ref="G207:J207"/>
    <mergeCell ref="G209:J209"/>
    <mergeCell ref="K209:N209"/>
    <mergeCell ref="O209:Q209"/>
    <mergeCell ref="R209:S209"/>
    <mergeCell ref="T209:U209"/>
    <mergeCell ref="V209:W209"/>
    <mergeCell ref="X209:Y209"/>
    <mergeCell ref="C209:F209"/>
    <mergeCell ref="C210:F210"/>
    <mergeCell ref="G210:J210"/>
    <mergeCell ref="K210:N210"/>
    <mergeCell ref="O210:Q210"/>
    <mergeCell ref="R210:S210"/>
    <mergeCell ref="T210:U210"/>
    <mergeCell ref="T214:U214"/>
    <mergeCell ref="V214:W214"/>
    <mergeCell ref="X214:Y214"/>
    <mergeCell ref="R213:S213"/>
    <mergeCell ref="T213:U213"/>
    <mergeCell ref="C214:F214"/>
    <mergeCell ref="G214:J214"/>
    <mergeCell ref="K214:N214"/>
    <mergeCell ref="O214:Q214"/>
    <mergeCell ref="R214:S214"/>
    <mergeCell ref="G215:J215"/>
    <mergeCell ref="K215:N215"/>
    <mergeCell ref="O215:Q215"/>
    <mergeCell ref="R215:S215"/>
    <mergeCell ref="T215:U215"/>
    <mergeCell ref="V215:W215"/>
    <mergeCell ref="X215:Y215"/>
    <mergeCell ref="C215:F215"/>
    <mergeCell ref="C216:F216"/>
    <mergeCell ref="G216:J216"/>
    <mergeCell ref="K216:N216"/>
    <mergeCell ref="O216:Q216"/>
    <mergeCell ref="R216:S216"/>
    <mergeCell ref="T216:U216"/>
    <mergeCell ref="T217:U217"/>
    <mergeCell ref="V217:W217"/>
    <mergeCell ref="V216:W216"/>
    <mergeCell ref="X216:Y216"/>
    <mergeCell ref="G217:J217"/>
    <mergeCell ref="K217:N217"/>
    <mergeCell ref="O217:Q217"/>
    <mergeCell ref="R217:S217"/>
    <mergeCell ref="X217:Y217"/>
    <mergeCell ref="V218:W218"/>
    <mergeCell ref="X218:Y218"/>
    <mergeCell ref="C217:F217"/>
    <mergeCell ref="C218:F218"/>
    <mergeCell ref="G218:J218"/>
    <mergeCell ref="K218:N218"/>
    <mergeCell ref="O218:Q218"/>
    <mergeCell ref="R218:S218"/>
    <mergeCell ref="T218:U218"/>
    <mergeCell ref="G226:J226"/>
    <mergeCell ref="K226:N226"/>
    <mergeCell ref="O226:Q226"/>
    <mergeCell ref="R226:S226"/>
    <mergeCell ref="T226:U226"/>
    <mergeCell ref="V226:W226"/>
    <mergeCell ref="X226:Y226"/>
    <mergeCell ref="C226:F226"/>
    <mergeCell ref="C227:F227"/>
    <mergeCell ref="G227:J227"/>
    <mergeCell ref="K227:N227"/>
    <mergeCell ref="O227:Q227"/>
    <mergeCell ref="R227:S227"/>
    <mergeCell ref="T227:U227"/>
    <mergeCell ref="K250:N250"/>
    <mergeCell ref="O250:Q250"/>
    <mergeCell ref="V250:W250"/>
    <mergeCell ref="X250:Y250"/>
    <mergeCell ref="V247:W247"/>
    <mergeCell ref="X247:Y247"/>
    <mergeCell ref="C249:F249"/>
    <mergeCell ref="G249:J249"/>
    <mergeCell ref="K249:W249"/>
    <mergeCell ref="C250:F250"/>
    <mergeCell ref="G250:J250"/>
    <mergeCell ref="G219:J219"/>
    <mergeCell ref="K219:N219"/>
    <mergeCell ref="O219:Q219"/>
    <mergeCell ref="R219:S219"/>
    <mergeCell ref="T219:U219"/>
    <mergeCell ref="V219:W219"/>
    <mergeCell ref="X219:Y219"/>
    <mergeCell ref="C219:F219"/>
    <mergeCell ref="C220:F220"/>
    <mergeCell ref="G220:J220"/>
    <mergeCell ref="K220:N220"/>
    <mergeCell ref="O220:Q220"/>
    <mergeCell ref="R220:S220"/>
    <mergeCell ref="T220:U220"/>
    <mergeCell ref="G221:J221"/>
    <mergeCell ref="K221:N221"/>
    <mergeCell ref="O221:Q221"/>
    <mergeCell ref="R221:S221"/>
    <mergeCell ref="T221:U221"/>
    <mergeCell ref="V221:W221"/>
    <mergeCell ref="X221:Y221"/>
    <mergeCell ref="O225:Q225"/>
    <mergeCell ref="R225:S225"/>
    <mergeCell ref="T225:U225"/>
    <mergeCell ref="V225:W225"/>
    <mergeCell ref="X225:Y225"/>
    <mergeCell ref="C221:F221"/>
    <mergeCell ref="C224:F224"/>
    <mergeCell ref="G224:J224"/>
    <mergeCell ref="K224:W224"/>
    <mergeCell ref="C225:F225"/>
    <mergeCell ref="G225:J225"/>
    <mergeCell ref="K225:N225"/>
    <mergeCell ref="T257:U257"/>
    <mergeCell ref="V257:W257"/>
    <mergeCell ref="X257:Y257"/>
    <mergeCell ref="C241:F241"/>
    <mergeCell ref="C243:F243"/>
    <mergeCell ref="G243:J243"/>
    <mergeCell ref="C244:F244"/>
    <mergeCell ref="G244:J244"/>
    <mergeCell ref="K244:N244"/>
    <mergeCell ref="O244:Q244"/>
    <mergeCell ref="V241:W241"/>
    <mergeCell ref="V244:W244"/>
    <mergeCell ref="X244:Y244"/>
    <mergeCell ref="G241:J241"/>
    <mergeCell ref="K241:N241"/>
    <mergeCell ref="O241:Q241"/>
    <mergeCell ref="R241:S241"/>
    <mergeCell ref="T241:U241"/>
    <mergeCell ref="X241:Y241"/>
    <mergeCell ref="K243:W243"/>
    <mergeCell ref="T245:U245"/>
    <mergeCell ref="V245:W245"/>
    <mergeCell ref="X245:Y245"/>
    <mergeCell ref="R244:S244"/>
    <mergeCell ref="T244:U244"/>
    <mergeCell ref="C245:F245"/>
    <mergeCell ref="G245:J245"/>
    <mergeCell ref="K245:N245"/>
    <mergeCell ref="O245:Q245"/>
    <mergeCell ref="R245:S245"/>
    <mergeCell ref="G246:J246"/>
    <mergeCell ref="K246:N246"/>
    <mergeCell ref="O246:Q246"/>
    <mergeCell ref="R246:S246"/>
    <mergeCell ref="T246:U246"/>
    <mergeCell ref="V246:W246"/>
    <mergeCell ref="X246:Y246"/>
    <mergeCell ref="C246:F246"/>
    <mergeCell ref="C247:F247"/>
    <mergeCell ref="G247:J247"/>
    <mergeCell ref="K247:N247"/>
    <mergeCell ref="O247:Q247"/>
    <mergeCell ref="R247:S247"/>
    <mergeCell ref="T247:U247"/>
    <mergeCell ref="T251:U251"/>
    <mergeCell ref="V251:W251"/>
    <mergeCell ref="X251:Y251"/>
    <mergeCell ref="R250:S250"/>
    <mergeCell ref="T250:U250"/>
    <mergeCell ref="C251:F251"/>
    <mergeCell ref="G251:J251"/>
    <mergeCell ref="K251:N251"/>
    <mergeCell ref="O251:Q251"/>
    <mergeCell ref="R251:S251"/>
    <mergeCell ref="G252:J252"/>
    <mergeCell ref="K252:N252"/>
    <mergeCell ref="O252:Q252"/>
    <mergeCell ref="R252:S252"/>
    <mergeCell ref="T252:U252"/>
    <mergeCell ref="V252:W252"/>
    <mergeCell ref="X252:Y252"/>
    <mergeCell ref="C252:F252"/>
    <mergeCell ref="C253:F253"/>
    <mergeCell ref="G253:J253"/>
    <mergeCell ref="K253:N253"/>
    <mergeCell ref="O253:Q253"/>
    <mergeCell ref="R253:S253"/>
    <mergeCell ref="T253:U253"/>
    <mergeCell ref="T254:U254"/>
    <mergeCell ref="V254:W254"/>
    <mergeCell ref="V253:W253"/>
    <mergeCell ref="X253:Y253"/>
    <mergeCell ref="G254:J254"/>
    <mergeCell ref="K254:N254"/>
    <mergeCell ref="O254:Q254"/>
    <mergeCell ref="R254:S254"/>
    <mergeCell ref="X254:Y254"/>
    <mergeCell ref="O257:Q257"/>
    <mergeCell ref="R257:S257"/>
    <mergeCell ref="C254:F254"/>
    <mergeCell ref="C256:F256"/>
    <mergeCell ref="G256:J256"/>
    <mergeCell ref="K256:W256"/>
    <mergeCell ref="C257:F257"/>
    <mergeCell ref="G257:J257"/>
    <mergeCell ref="K257:N257"/>
    <mergeCell ref="G258:J258"/>
    <mergeCell ref="K258:N258"/>
    <mergeCell ref="O258:Q258"/>
    <mergeCell ref="R258:S258"/>
    <mergeCell ref="T258:U258"/>
    <mergeCell ref="V258:W258"/>
    <mergeCell ref="X258:Y258"/>
    <mergeCell ref="V259:W259"/>
    <mergeCell ref="X259:Y259"/>
    <mergeCell ref="C258:F258"/>
    <mergeCell ref="C259:F259"/>
    <mergeCell ref="G259:J259"/>
    <mergeCell ref="K259:N259"/>
    <mergeCell ref="O259:Q259"/>
    <mergeCell ref="R259:S259"/>
    <mergeCell ref="T259:U259"/>
    <mergeCell ref="G260:J260"/>
    <mergeCell ref="K260:N260"/>
    <mergeCell ref="O260:Q260"/>
    <mergeCell ref="R260:S260"/>
    <mergeCell ref="T260:U260"/>
    <mergeCell ref="V260:W260"/>
    <mergeCell ref="X260:Y260"/>
    <mergeCell ref="V261:W261"/>
    <mergeCell ref="X261:Y261"/>
    <mergeCell ref="C260:F260"/>
    <mergeCell ref="C261:F261"/>
    <mergeCell ref="G261:J261"/>
    <mergeCell ref="K261:N261"/>
    <mergeCell ref="O261:Q261"/>
    <mergeCell ref="R261:S261"/>
    <mergeCell ref="T261:U261"/>
    <mergeCell ref="R101:S101"/>
    <mergeCell ref="T101:U101"/>
    <mergeCell ref="C100:F100"/>
    <mergeCell ref="G100:J100"/>
    <mergeCell ref="K100:W100"/>
    <mergeCell ref="C101:F101"/>
    <mergeCell ref="G101:J101"/>
    <mergeCell ref="K101:N101"/>
    <mergeCell ref="O101:Q101"/>
    <mergeCell ref="G102:J102"/>
    <mergeCell ref="K102:N102"/>
    <mergeCell ref="O102:Q102"/>
    <mergeCell ref="R102:S102"/>
    <mergeCell ref="T102:U102"/>
    <mergeCell ref="V102:W102"/>
    <mergeCell ref="X102:Y102"/>
    <mergeCell ref="V103:W103"/>
    <mergeCell ref="X103:Y103"/>
    <mergeCell ref="C102:F102"/>
    <mergeCell ref="C103:F103"/>
    <mergeCell ref="G103:J103"/>
    <mergeCell ref="K103:N103"/>
    <mergeCell ref="O103:Q103"/>
    <mergeCell ref="R103:S103"/>
    <mergeCell ref="T103:U103"/>
    <mergeCell ref="V106:W106"/>
    <mergeCell ref="X106:Y106"/>
    <mergeCell ref="T112:U112"/>
    <mergeCell ref="V112:W112"/>
    <mergeCell ref="X112:Y112"/>
    <mergeCell ref="G122:J122"/>
    <mergeCell ref="K122:N122"/>
    <mergeCell ref="O122:Q122"/>
    <mergeCell ref="R122:S122"/>
    <mergeCell ref="T122:U122"/>
    <mergeCell ref="V122:W122"/>
    <mergeCell ref="X122:Y122"/>
    <mergeCell ref="C122:F122"/>
    <mergeCell ref="C123:F123"/>
    <mergeCell ref="G123:J123"/>
    <mergeCell ref="K123:N123"/>
    <mergeCell ref="O123:Q123"/>
    <mergeCell ref="R123:S123"/>
    <mergeCell ref="T123:U123"/>
    <mergeCell ref="K126:N126"/>
    <mergeCell ref="O126:Q126"/>
    <mergeCell ref="V126:W126"/>
    <mergeCell ref="X126:Y126"/>
    <mergeCell ref="V123:W123"/>
    <mergeCell ref="X123:Y123"/>
    <mergeCell ref="C125:F125"/>
    <mergeCell ref="G125:J125"/>
    <mergeCell ref="K125:W125"/>
    <mergeCell ref="C126:F126"/>
    <mergeCell ref="G126:J126"/>
    <mergeCell ref="T127:U127"/>
    <mergeCell ref="V127:W127"/>
    <mergeCell ref="X127:Y127"/>
    <mergeCell ref="R126:S126"/>
    <mergeCell ref="T126:U126"/>
    <mergeCell ref="C127:F127"/>
    <mergeCell ref="G127:J127"/>
    <mergeCell ref="K127:N127"/>
    <mergeCell ref="O127:Q127"/>
    <mergeCell ref="R127:S127"/>
    <mergeCell ref="G128:J128"/>
    <mergeCell ref="K128:N128"/>
    <mergeCell ref="O128:Q128"/>
    <mergeCell ref="R128:S128"/>
    <mergeCell ref="T128:U128"/>
    <mergeCell ref="V128:W128"/>
    <mergeCell ref="X128:Y128"/>
    <mergeCell ref="C128:F128"/>
    <mergeCell ref="C129:F129"/>
    <mergeCell ref="G129:J129"/>
    <mergeCell ref="K129:N129"/>
    <mergeCell ref="O129:Q129"/>
    <mergeCell ref="R129:S129"/>
    <mergeCell ref="T129:U129"/>
    <mergeCell ref="K132:N132"/>
    <mergeCell ref="O132:Q132"/>
    <mergeCell ref="V132:W132"/>
    <mergeCell ref="X132:Y132"/>
    <mergeCell ref="V129:W129"/>
    <mergeCell ref="X129:Y129"/>
    <mergeCell ref="C131:F131"/>
    <mergeCell ref="G131:J131"/>
    <mergeCell ref="K131:W131"/>
    <mergeCell ref="C132:F132"/>
    <mergeCell ref="G132:J132"/>
    <mergeCell ref="T133:U133"/>
    <mergeCell ref="V133:W133"/>
    <mergeCell ref="X133:Y133"/>
    <mergeCell ref="R132:S132"/>
    <mergeCell ref="T132:U132"/>
    <mergeCell ref="C133:F133"/>
    <mergeCell ref="G133:J133"/>
    <mergeCell ref="K133:N133"/>
    <mergeCell ref="O133:Q133"/>
    <mergeCell ref="R133:S133"/>
    <mergeCell ref="C143:F143"/>
    <mergeCell ref="C145:F145"/>
    <mergeCell ref="G145:J145"/>
    <mergeCell ref="C146:F146"/>
    <mergeCell ref="G146:J146"/>
    <mergeCell ref="K146:N146"/>
    <mergeCell ref="O146:Q146"/>
    <mergeCell ref="V143:W143"/>
    <mergeCell ref="V146:W146"/>
    <mergeCell ref="X146:Y146"/>
    <mergeCell ref="G143:J143"/>
    <mergeCell ref="K143:N143"/>
    <mergeCell ref="O143:Q143"/>
    <mergeCell ref="R143:S143"/>
    <mergeCell ref="T143:U143"/>
    <mergeCell ref="X143:Y143"/>
    <mergeCell ref="K145:W145"/>
    <mergeCell ref="O112:Q112"/>
    <mergeCell ref="R112:S112"/>
    <mergeCell ref="C109:F109"/>
    <mergeCell ref="C111:F111"/>
    <mergeCell ref="G111:J111"/>
    <mergeCell ref="K111:W111"/>
    <mergeCell ref="C112:F112"/>
    <mergeCell ref="G112:J112"/>
    <mergeCell ref="K112:N112"/>
    <mergeCell ref="G113:J113"/>
    <mergeCell ref="K113:N113"/>
    <mergeCell ref="O113:Q113"/>
    <mergeCell ref="R113:S113"/>
    <mergeCell ref="T113:U113"/>
    <mergeCell ref="V113:W113"/>
    <mergeCell ref="X113:Y113"/>
    <mergeCell ref="V114:W114"/>
    <mergeCell ref="X114:Y114"/>
    <mergeCell ref="C113:F113"/>
    <mergeCell ref="C114:F114"/>
    <mergeCell ref="G114:J114"/>
    <mergeCell ref="K114:N114"/>
    <mergeCell ref="O114:Q114"/>
    <mergeCell ref="R114:S114"/>
    <mergeCell ref="T114:U114"/>
    <mergeCell ref="V117:W117"/>
    <mergeCell ref="X117:Y117"/>
    <mergeCell ref="C148:F148"/>
    <mergeCell ref="G148:J148"/>
    <mergeCell ref="K148:N148"/>
    <mergeCell ref="O148:Q148"/>
    <mergeCell ref="R148:S148"/>
    <mergeCell ref="T148:U148"/>
    <mergeCell ref="V148:W148"/>
    <mergeCell ref="C134:F134"/>
    <mergeCell ref="C136:F136"/>
    <mergeCell ref="G136:J136"/>
    <mergeCell ref="C137:F137"/>
    <mergeCell ref="G137:J137"/>
    <mergeCell ref="K137:N137"/>
    <mergeCell ref="O137:Q137"/>
    <mergeCell ref="V134:W134"/>
    <mergeCell ref="V137:W137"/>
    <mergeCell ref="X137:Y137"/>
    <mergeCell ref="G134:J134"/>
    <mergeCell ref="K134:N134"/>
    <mergeCell ref="O134:Q134"/>
    <mergeCell ref="R134:S134"/>
    <mergeCell ref="T134:U134"/>
    <mergeCell ref="X134:Y134"/>
    <mergeCell ref="K136:W136"/>
    <mergeCell ref="T138:U138"/>
    <mergeCell ref="V138:W138"/>
    <mergeCell ref="X138:Y138"/>
    <mergeCell ref="R137:S137"/>
    <mergeCell ref="T137:U137"/>
    <mergeCell ref="C138:F138"/>
    <mergeCell ref="G138:J138"/>
    <mergeCell ref="K138:N138"/>
    <mergeCell ref="O138:Q138"/>
    <mergeCell ref="R138:S138"/>
    <mergeCell ref="G139:J139"/>
    <mergeCell ref="K139:N139"/>
    <mergeCell ref="O139:Q139"/>
    <mergeCell ref="R139:S139"/>
    <mergeCell ref="T139:U139"/>
    <mergeCell ref="V139:W139"/>
    <mergeCell ref="X139:Y139"/>
    <mergeCell ref="C139:F139"/>
    <mergeCell ref="C140:F140"/>
    <mergeCell ref="G140:J140"/>
    <mergeCell ref="K140:N140"/>
    <mergeCell ref="O140:Q140"/>
    <mergeCell ref="R140:S140"/>
    <mergeCell ref="T140:U140"/>
    <mergeCell ref="T141:U141"/>
    <mergeCell ref="V141:W141"/>
    <mergeCell ref="V140:W140"/>
    <mergeCell ref="X140:Y140"/>
    <mergeCell ref="G141:J141"/>
    <mergeCell ref="K141:N141"/>
    <mergeCell ref="O141:Q141"/>
    <mergeCell ref="R141:S141"/>
    <mergeCell ref="X141:Y141"/>
    <mergeCell ref="V142:W142"/>
    <mergeCell ref="X142:Y142"/>
    <mergeCell ref="C141:F141"/>
    <mergeCell ref="C142:F142"/>
    <mergeCell ref="G142:J142"/>
    <mergeCell ref="K142:N142"/>
    <mergeCell ref="O142:Q142"/>
    <mergeCell ref="R142:S142"/>
    <mergeCell ref="T142:U142"/>
    <mergeCell ref="T147:U147"/>
    <mergeCell ref="V147:W147"/>
    <mergeCell ref="R146:S146"/>
    <mergeCell ref="T146:U146"/>
    <mergeCell ref="C147:F147"/>
    <mergeCell ref="G147:J147"/>
    <mergeCell ref="K147:N147"/>
    <mergeCell ref="O147:Q147"/>
    <mergeCell ref="R147:S147"/>
    <mergeCell ref="R151:S151"/>
    <mergeCell ref="T151:U151"/>
    <mergeCell ref="V151:W151"/>
    <mergeCell ref="X151:Y151"/>
    <mergeCell ref="C150:F150"/>
    <mergeCell ref="G150:J150"/>
    <mergeCell ref="K150:W150"/>
    <mergeCell ref="C151:F151"/>
    <mergeCell ref="G151:J151"/>
    <mergeCell ref="K151:N151"/>
    <mergeCell ref="O151:Q151"/>
    <mergeCell ref="G152:J152"/>
    <mergeCell ref="K152:N152"/>
    <mergeCell ref="O152:Q152"/>
    <mergeCell ref="R152:S152"/>
    <mergeCell ref="T152:U152"/>
    <mergeCell ref="V152:W152"/>
    <mergeCell ref="X152:Y152"/>
    <mergeCell ref="V153:W153"/>
    <mergeCell ref="X153:Y153"/>
    <mergeCell ref="C152:F152"/>
    <mergeCell ref="C153:F153"/>
    <mergeCell ref="G153:J153"/>
    <mergeCell ref="K153:N153"/>
    <mergeCell ref="O153:Q153"/>
    <mergeCell ref="R153:S153"/>
    <mergeCell ref="T153:U153"/>
    <mergeCell ref="V156:W156"/>
    <mergeCell ref="X156:Y156"/>
    <mergeCell ref="G159:J159"/>
    <mergeCell ref="K159:N159"/>
    <mergeCell ref="O159:Q159"/>
    <mergeCell ref="R159:S159"/>
    <mergeCell ref="T159:U159"/>
    <mergeCell ref="V159:W159"/>
    <mergeCell ref="X159:Y159"/>
    <mergeCell ref="K161:W161"/>
    <mergeCell ref="C159:F159"/>
    <mergeCell ref="C161:F161"/>
    <mergeCell ref="G161:J161"/>
    <mergeCell ref="C162:F162"/>
    <mergeCell ref="G162:J162"/>
    <mergeCell ref="K162:N162"/>
    <mergeCell ref="O162:Q162"/>
    <mergeCell ref="G163:J163"/>
    <mergeCell ref="K163:N163"/>
    <mergeCell ref="O163:Q163"/>
    <mergeCell ref="R163:S163"/>
    <mergeCell ref="T163:U163"/>
    <mergeCell ref="V163:W163"/>
    <mergeCell ref="X163:Y163"/>
    <mergeCell ref="C163:F163"/>
    <mergeCell ref="C164:F164"/>
    <mergeCell ref="G164:J164"/>
    <mergeCell ref="K164:N164"/>
    <mergeCell ref="O164:Q164"/>
    <mergeCell ref="R164:S164"/>
    <mergeCell ref="T164:U164"/>
    <mergeCell ref="T165:U165"/>
    <mergeCell ref="V165:W165"/>
    <mergeCell ref="V164:W164"/>
    <mergeCell ref="X164:Y164"/>
    <mergeCell ref="G165:J165"/>
    <mergeCell ref="K165:N165"/>
    <mergeCell ref="O165:Q165"/>
    <mergeCell ref="R165:S165"/>
    <mergeCell ref="X165:Y165"/>
    <mergeCell ref="V166:W166"/>
    <mergeCell ref="X166:Y166"/>
    <mergeCell ref="C165:F165"/>
    <mergeCell ref="C166:F166"/>
    <mergeCell ref="G166:J166"/>
    <mergeCell ref="K166:N166"/>
    <mergeCell ref="O166:Q166"/>
    <mergeCell ref="R166:S166"/>
    <mergeCell ref="T166:U166"/>
    <mergeCell ref="R156:S156"/>
    <mergeCell ref="T156:U156"/>
    <mergeCell ref="C155:F155"/>
    <mergeCell ref="G155:J155"/>
    <mergeCell ref="K155:W155"/>
    <mergeCell ref="C156:F156"/>
    <mergeCell ref="G156:J156"/>
    <mergeCell ref="K156:N156"/>
    <mergeCell ref="O156:Q156"/>
    <mergeCell ref="G157:J157"/>
    <mergeCell ref="K157:N157"/>
    <mergeCell ref="O157:Q157"/>
    <mergeCell ref="R157:S157"/>
    <mergeCell ref="T157:U157"/>
    <mergeCell ref="V157:W157"/>
    <mergeCell ref="X157:Y157"/>
    <mergeCell ref="V158:W158"/>
    <mergeCell ref="X158:Y158"/>
    <mergeCell ref="C157:F157"/>
    <mergeCell ref="C158:F158"/>
    <mergeCell ref="G158:J158"/>
    <mergeCell ref="K158:N158"/>
    <mergeCell ref="O158:Q158"/>
    <mergeCell ref="R158:S158"/>
    <mergeCell ref="T158:U158"/>
    <mergeCell ref="R162:S162"/>
    <mergeCell ref="T162:U162"/>
    <mergeCell ref="V162:W162"/>
    <mergeCell ref="X162:Y162"/>
    <mergeCell ref="V169:W169"/>
    <mergeCell ref="X169:Y169"/>
    <mergeCell ref="G172:J172"/>
    <mergeCell ref="K172:N172"/>
    <mergeCell ref="O172:Q172"/>
    <mergeCell ref="R172:S172"/>
    <mergeCell ref="T172:U172"/>
    <mergeCell ref="V172:W172"/>
    <mergeCell ref="X172:Y172"/>
    <mergeCell ref="C172:F172"/>
    <mergeCell ref="C173:F173"/>
    <mergeCell ref="G173:J173"/>
    <mergeCell ref="K173:N173"/>
    <mergeCell ref="O173:Q173"/>
    <mergeCell ref="R173:S173"/>
    <mergeCell ref="T173:U173"/>
    <mergeCell ref="G174:J174"/>
    <mergeCell ref="K174:N174"/>
    <mergeCell ref="O174:Q174"/>
    <mergeCell ref="R174:S174"/>
    <mergeCell ref="T174:U174"/>
    <mergeCell ref="V174:W174"/>
    <mergeCell ref="X174:Y174"/>
    <mergeCell ref="C174:F174"/>
    <mergeCell ref="C175:F175"/>
    <mergeCell ref="G175:J175"/>
    <mergeCell ref="K175:N175"/>
    <mergeCell ref="O175:Q175"/>
    <mergeCell ref="R175:S175"/>
    <mergeCell ref="T175:U175"/>
    <mergeCell ref="T176:U176"/>
    <mergeCell ref="V176:W176"/>
    <mergeCell ref="V175:W175"/>
    <mergeCell ref="X175:Y175"/>
    <mergeCell ref="C176:F176"/>
    <mergeCell ref="G176:J176"/>
    <mergeCell ref="K176:N176"/>
    <mergeCell ref="O176:Q176"/>
    <mergeCell ref="R176:S176"/>
    <mergeCell ref="R169:S169"/>
    <mergeCell ref="T169:U169"/>
    <mergeCell ref="C168:F168"/>
    <mergeCell ref="G168:J168"/>
    <mergeCell ref="K168:W168"/>
    <mergeCell ref="C169:F169"/>
    <mergeCell ref="G169:J169"/>
    <mergeCell ref="K169:N169"/>
    <mergeCell ref="O169:Q169"/>
    <mergeCell ref="G170:J170"/>
    <mergeCell ref="K170:N170"/>
    <mergeCell ref="O170:Q170"/>
    <mergeCell ref="R170:S170"/>
    <mergeCell ref="T170:U170"/>
    <mergeCell ref="V170:W170"/>
    <mergeCell ref="X170:Y170"/>
    <mergeCell ref="V171:W171"/>
    <mergeCell ref="X171:Y171"/>
    <mergeCell ref="C170:F170"/>
    <mergeCell ref="C171:F171"/>
    <mergeCell ref="G171:J171"/>
    <mergeCell ref="K171:N171"/>
    <mergeCell ref="O171:Q171"/>
    <mergeCell ref="R171:S171"/>
    <mergeCell ref="T171:U171"/>
    <mergeCell ref="V173:W173"/>
    <mergeCell ref="X173:Y173"/>
    <mergeCell ref="V179:W179"/>
    <mergeCell ref="X179:Y179"/>
    <mergeCell ref="G182:J182"/>
    <mergeCell ref="K182:N182"/>
    <mergeCell ref="O182:Q182"/>
    <mergeCell ref="R182:S182"/>
    <mergeCell ref="T182:U182"/>
    <mergeCell ref="V182:W182"/>
    <mergeCell ref="X182:Y182"/>
    <mergeCell ref="C182:F182"/>
    <mergeCell ref="C183:F183"/>
    <mergeCell ref="G183:J183"/>
    <mergeCell ref="K183:N183"/>
    <mergeCell ref="O183:Q183"/>
    <mergeCell ref="R183:S183"/>
    <mergeCell ref="T183:U183"/>
    <mergeCell ref="C184:F184"/>
    <mergeCell ref="C186:F186"/>
    <mergeCell ref="G186:J186"/>
    <mergeCell ref="C187:F187"/>
    <mergeCell ref="G187:J187"/>
    <mergeCell ref="K187:N187"/>
    <mergeCell ref="O187:Q187"/>
    <mergeCell ref="V184:W184"/>
    <mergeCell ref="V187:W187"/>
    <mergeCell ref="X187:Y187"/>
    <mergeCell ref="G184:J184"/>
    <mergeCell ref="K184:N184"/>
    <mergeCell ref="O184:Q184"/>
    <mergeCell ref="R184:S184"/>
    <mergeCell ref="T184:U184"/>
    <mergeCell ref="X184:Y184"/>
    <mergeCell ref="K186:W186"/>
    <mergeCell ref="T188:U188"/>
    <mergeCell ref="V188:W188"/>
    <mergeCell ref="X188:Y188"/>
    <mergeCell ref="R187:S187"/>
    <mergeCell ref="T187:U187"/>
    <mergeCell ref="C188:F188"/>
    <mergeCell ref="G188:J188"/>
    <mergeCell ref="K188:N188"/>
    <mergeCell ref="O188:Q188"/>
    <mergeCell ref="R188:S188"/>
    <mergeCell ref="C189:F189"/>
    <mergeCell ref="C191:F191"/>
    <mergeCell ref="G191:J191"/>
    <mergeCell ref="C192:F192"/>
    <mergeCell ref="G192:J192"/>
    <mergeCell ref="K192:N192"/>
    <mergeCell ref="O192:Q192"/>
    <mergeCell ref="V189:W189"/>
    <mergeCell ref="V192:W192"/>
    <mergeCell ref="X192:Y192"/>
    <mergeCell ref="G189:J189"/>
    <mergeCell ref="K189:N189"/>
    <mergeCell ref="O189:Q189"/>
    <mergeCell ref="R189:S189"/>
    <mergeCell ref="T189:U189"/>
    <mergeCell ref="X189:Y189"/>
    <mergeCell ref="K191:W191"/>
    <mergeCell ref="T193:U193"/>
    <mergeCell ref="V193:W193"/>
    <mergeCell ref="X193:Y193"/>
    <mergeCell ref="R192:S192"/>
    <mergeCell ref="T192:U192"/>
    <mergeCell ref="C193:F193"/>
    <mergeCell ref="G193:J193"/>
    <mergeCell ref="K193:N193"/>
    <mergeCell ref="O193:Q193"/>
    <mergeCell ref="R193:S193"/>
    <mergeCell ref="C194:F194"/>
    <mergeCell ref="C196:F196"/>
    <mergeCell ref="G196:J196"/>
    <mergeCell ref="C197:F197"/>
    <mergeCell ref="G197:J197"/>
    <mergeCell ref="K197:N197"/>
    <mergeCell ref="O197:Q197"/>
    <mergeCell ref="V194:W194"/>
    <mergeCell ref="V197:W197"/>
    <mergeCell ref="X197:Y197"/>
    <mergeCell ref="G194:J194"/>
    <mergeCell ref="K194:N194"/>
    <mergeCell ref="O194:Q194"/>
    <mergeCell ref="R194:S194"/>
    <mergeCell ref="T194:U194"/>
    <mergeCell ref="X194:Y194"/>
    <mergeCell ref="K196:W196"/>
    <mergeCell ref="T198:U198"/>
    <mergeCell ref="V198:W198"/>
    <mergeCell ref="X198:Y198"/>
    <mergeCell ref="R197:S197"/>
    <mergeCell ref="T197:U197"/>
    <mergeCell ref="C198:F198"/>
    <mergeCell ref="G198:J198"/>
    <mergeCell ref="K198:N198"/>
    <mergeCell ref="O198:Q198"/>
    <mergeCell ref="R198:S198"/>
    <mergeCell ref="G199:J199"/>
    <mergeCell ref="K199:N199"/>
    <mergeCell ref="O199:Q199"/>
    <mergeCell ref="R199:S199"/>
    <mergeCell ref="T199:U199"/>
    <mergeCell ref="V199:W199"/>
    <mergeCell ref="X199:Y199"/>
    <mergeCell ref="C199:F199"/>
    <mergeCell ref="C200:F200"/>
    <mergeCell ref="G200:J200"/>
    <mergeCell ref="K200:N200"/>
    <mergeCell ref="O200:Q200"/>
    <mergeCell ref="R200:S200"/>
    <mergeCell ref="T200:U200"/>
    <mergeCell ref="T201:U201"/>
    <mergeCell ref="V201:W201"/>
    <mergeCell ref="V200:W200"/>
    <mergeCell ref="X200:Y200"/>
    <mergeCell ref="G201:J201"/>
    <mergeCell ref="K201:N201"/>
    <mergeCell ref="O201:Q201"/>
    <mergeCell ref="R201:S201"/>
    <mergeCell ref="X201:Y201"/>
    <mergeCell ref="V202:W202"/>
    <mergeCell ref="X202:Y202"/>
    <mergeCell ref="C201:F201"/>
    <mergeCell ref="C202:F202"/>
    <mergeCell ref="G202:J202"/>
    <mergeCell ref="K202:N202"/>
    <mergeCell ref="O202:Q202"/>
    <mergeCell ref="R202:S202"/>
    <mergeCell ref="T202:U202"/>
    <mergeCell ref="G203:J203"/>
    <mergeCell ref="K203:N203"/>
    <mergeCell ref="O203:Q203"/>
    <mergeCell ref="R203:S203"/>
    <mergeCell ref="T203:U203"/>
    <mergeCell ref="V203:W203"/>
    <mergeCell ref="X203:Y203"/>
    <mergeCell ref="C203:F203"/>
    <mergeCell ref="C204:F204"/>
    <mergeCell ref="G204:J204"/>
    <mergeCell ref="K204:N204"/>
    <mergeCell ref="O204:Q204"/>
    <mergeCell ref="R204:S204"/>
    <mergeCell ref="T204:U204"/>
    <mergeCell ref="T208:U208"/>
    <mergeCell ref="V208:W208"/>
    <mergeCell ref="X208:Y208"/>
    <mergeCell ref="R207:S207"/>
    <mergeCell ref="T207:U207"/>
    <mergeCell ref="C208:F208"/>
    <mergeCell ref="G208:J208"/>
    <mergeCell ref="K208:N208"/>
    <mergeCell ref="O208:Q208"/>
    <mergeCell ref="R208:S208"/>
    <mergeCell ref="K230:N230"/>
    <mergeCell ref="O230:Q230"/>
    <mergeCell ref="V230:W230"/>
    <mergeCell ref="X230:Y230"/>
    <mergeCell ref="V227:W227"/>
    <mergeCell ref="X227:Y227"/>
    <mergeCell ref="C229:F229"/>
    <mergeCell ref="G229:J229"/>
    <mergeCell ref="K229:W229"/>
    <mergeCell ref="C230:F230"/>
    <mergeCell ref="G230:J230"/>
    <mergeCell ref="T231:U231"/>
    <mergeCell ref="V231:W231"/>
    <mergeCell ref="X231:Y231"/>
    <mergeCell ref="R230:S230"/>
    <mergeCell ref="T230:U230"/>
    <mergeCell ref="C231:F231"/>
    <mergeCell ref="G231:J231"/>
    <mergeCell ref="K231:N231"/>
    <mergeCell ref="O231:Q231"/>
    <mergeCell ref="R231:S231"/>
    <mergeCell ref="C232:F232"/>
    <mergeCell ref="C234:F234"/>
    <mergeCell ref="G234:J234"/>
    <mergeCell ref="C235:F235"/>
    <mergeCell ref="G235:J235"/>
    <mergeCell ref="K235:N235"/>
    <mergeCell ref="O235:Q235"/>
    <mergeCell ref="V232:W232"/>
    <mergeCell ref="V235:W235"/>
    <mergeCell ref="X235:Y235"/>
    <mergeCell ref="G232:J232"/>
    <mergeCell ref="K232:N232"/>
    <mergeCell ref="O232:Q232"/>
    <mergeCell ref="R232:S232"/>
    <mergeCell ref="T232:U232"/>
    <mergeCell ref="X232:Y232"/>
    <mergeCell ref="K234:W234"/>
    <mergeCell ref="T236:U236"/>
    <mergeCell ref="V236:W236"/>
    <mergeCell ref="X236:Y236"/>
    <mergeCell ref="R235:S235"/>
    <mergeCell ref="T235:U235"/>
    <mergeCell ref="C236:F236"/>
    <mergeCell ref="G236:J236"/>
    <mergeCell ref="K236:N236"/>
    <mergeCell ref="O236:Q236"/>
    <mergeCell ref="R236:S236"/>
    <mergeCell ref="G237:J237"/>
    <mergeCell ref="K237:N237"/>
    <mergeCell ref="O237:Q237"/>
    <mergeCell ref="R237:S237"/>
    <mergeCell ref="T237:U237"/>
    <mergeCell ref="V237:W237"/>
    <mergeCell ref="X237:Y237"/>
    <mergeCell ref="C237:F237"/>
    <mergeCell ref="C238:F238"/>
    <mergeCell ref="G238:J238"/>
    <mergeCell ref="K238:N238"/>
    <mergeCell ref="O238:Q238"/>
    <mergeCell ref="R238:S238"/>
    <mergeCell ref="T238:U238"/>
    <mergeCell ref="T239:U239"/>
    <mergeCell ref="V239:W239"/>
    <mergeCell ref="V238:W238"/>
    <mergeCell ref="X238:Y238"/>
    <mergeCell ref="G239:J239"/>
    <mergeCell ref="K239:N239"/>
    <mergeCell ref="O239:Q239"/>
    <mergeCell ref="R239:S239"/>
    <mergeCell ref="X239:Y239"/>
    <mergeCell ref="V240:W240"/>
    <mergeCell ref="X240:Y240"/>
    <mergeCell ref="C239:F239"/>
    <mergeCell ref="C240:F240"/>
    <mergeCell ref="G240:J240"/>
    <mergeCell ref="K240:N240"/>
    <mergeCell ref="O240:Q240"/>
    <mergeCell ref="R240:S240"/>
    <mergeCell ref="T240:U240"/>
  </mergeCells>
  <drawing r:id="rId2"/>
  <legacyDrawing r:id="rId3"/>
</worksheet>
</file>